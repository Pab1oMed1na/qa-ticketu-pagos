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Escalas" sheetId="2" state="visible" r:id="rId4"/>
    <sheet name="Registro de riesgos" sheetId="3" state="visible" r:id="rId5"/>
    <sheet name="Matriz 3x3" sheetId="4" state="visible" r:id="rId6"/>
    <sheet name="Resumen" sheetId="5" state="visible" r:id="rId7"/>
  </sheets>
  <definedNames>
    <definedName function="false" hidden="true" localSheetId="2" name="_xlnm._FilterDatabase" vbProcedure="false">'Registro de riesgos'!$A$4:$Q$44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<sst xmlns="http://schemas.openxmlformats.org/spreadsheetml/2006/main" count="363" uniqueCount="254">
  <si>
    <t xml:space="preserve">UNIVERSIDAD DE VALPARAÍSO · CIN 421 / INF423 — Prueba de Sistemas · 2° Semestre 2026</t>
  </si>
  <si>
    <t xml:space="preserve">Plantilla · Matriz de Riesgos</t>
  </si>
  <si>
    <t xml:space="preserve">Proyecto TicketU · un archivo por grupo QA y microservicio · Entrega 1</t>
  </si>
  <si>
    <t xml:space="preserve">Grupo QA</t>
  </si>
  <si>
    <t xml:space="preserve">Grupo Pagos</t>
  </si>
  <si>
    <t xml:space="preserve">Microservicio</t>
  </si>
  <si>
    <t xml:space="preserve">Pagos (checkout, estado, reembolsos y consulta de pagos)</t>
  </si>
  <si>
    <t xml:space="preserve">Equipo TITEC</t>
  </si>
  <si>
    <t xml:space="preserve">Equipo Pagos (Modulos-Pagos)</t>
  </si>
  <si>
    <t xml:space="preserve">Versión / entrega</t>
  </si>
  <si>
    <t xml:space="preserve">v1.1 · Entrega 1</t>
  </si>
  <si>
    <t xml:space="preserve">Fecha</t>
  </si>
  <si>
    <t xml:space="preserve">21/10/2026</t>
  </si>
  <si>
    <t xml:space="preserve">Cómo usarla</t>
  </si>
  <si>
    <t xml:space="preserve">1. Identificar</t>
  </si>
  <si>
    <t xml:space="preserve">En «Registro de riesgos», escriban un riesgo por fila: al menos 8 de producto y 3 de proyecto. Fuentes: requisitos, historias de usuario, contrato OpenAPI y estrategia del grupo.</t>
  </si>
  <si>
    <t xml:space="preserve">2. Evaluar</t>
  </si>
  <si>
    <t xml:space="preserve">Asignen Probabilidad e Impacto de 1 a 3 según la hoja «Escalas», con acuerdo de todo el grupo.</t>
  </si>
  <si>
    <t xml:space="preserve">3. Calcular</t>
  </si>
  <si>
    <t xml:space="preserve">Nivel (P × I), Clasificación e Importancia TestLink se calculan solos: no editen las celdas grises.</t>
  </si>
  <si>
    <t xml:space="preserve">4. Responder</t>
  </si>
  <si>
    <t xml:space="preserve">Elijan la respuesta (Mitigar con pruebas, Aceptar, Transferir, Plan de contingencia) y escriban la técnica o acción concreta.</t>
  </si>
  <si>
    <t xml:space="preserve">5. Priorizar</t>
  </si>
  <si>
    <t xml:space="preserve">Definan el orden de ejecución: primero los altos, respetando dependencias técnicas y lógicas.</t>
  </si>
  <si>
    <t xml:space="preserve">6. Trazar</t>
  </si>
  <si>
    <t xml:space="preserve">Anoten el requisito o HU de origen y los IDs de los casos de TestLink que cubren cada riesgo.</t>
  </si>
  <si>
    <t xml:space="preserve">7. Monitorear</t>
  </si>
  <si>
    <t xml:space="preserve">Actualicen Estado y Revisión en cada entrega. Las hojas «Matriz 3x3» y «Resumen» se actualizan solas.</t>
  </si>
  <si>
    <t xml:space="preserve">Leyenda</t>
  </si>
  <si>
    <t xml:space="preserve">Celda amarilla</t>
  </si>
  <si>
    <t xml:space="preserve">Para completar por el grupo.</t>
  </si>
  <si>
    <t xml:space="preserve">Celda gris</t>
  </si>
  <si>
    <t xml:space="preserve">Fórmula: se calcula sola, no editar.</t>
  </si>
  <si>
    <t xml:space="preserve">Alto (6–9)</t>
  </si>
  <si>
    <t xml:space="preserve">Clasificación por nivel de riesgo (convención del curso).</t>
  </si>
  <si>
    <t xml:space="preserve">Medio (3–4)</t>
  </si>
  <si>
    <t xml:space="preserve">Bajo (1–2)</t>
  </si>
  <si>
    <t xml:space="preserve">Fuentes: ISTQB CTFL 5.5, ISTQB Agile Tester 3.2.1 y Crispin &amp; Gregory, Agile Testing, cap. 18. El curso usa una escala 1–3 por simplicidad.</t>
  </si>
  <si>
    <t xml:space="preserve">Escalas de evaluación</t>
  </si>
  <si>
    <t xml:space="preserve">Acuerden en el grupo qué significa cada valor antes de puntuar.</t>
  </si>
  <si>
    <t xml:space="preserve">Probabilidad: ¿qué tan probable es que falle?</t>
  </si>
  <si>
    <t xml:space="preserve">Valor</t>
  </si>
  <si>
    <t xml:space="preserve">Nivel</t>
  </si>
  <si>
    <t xml:space="preserve">Criterio</t>
  </si>
  <si>
    <t xml:space="preserve">Baja</t>
  </si>
  <si>
    <t xml:space="preserve">Regla simple, código estable, sin integraciones.</t>
  </si>
  <si>
    <t xml:space="preserve">Media</t>
  </si>
  <si>
    <t xml:space="preserve">Regla con varias condiciones o código cambiado recientemente.</t>
  </si>
  <si>
    <t xml:space="preserve">Alta</t>
  </si>
  <si>
    <t xml:space="preserve">Regla compleja, código nuevo, integraciones o mensajes asíncronos, tecnología nueva para el equipo.</t>
  </si>
  <si>
    <t xml:space="preserve">Impacto: ¿cuánto daño hace si falla?</t>
  </si>
  <si>
    <t xml:space="preserve">Bajo</t>
  </si>
  <si>
    <t xml:space="preserve">Molestia menor con alternativa; no afecta dinero ni acceso al evento.</t>
  </si>
  <si>
    <t xml:space="preserve">Medio</t>
  </si>
  <si>
    <t xml:space="preserve">Afecta a un grupo de usuarios o una función importante con alternativa difícil.</t>
  </si>
  <si>
    <t xml:space="preserve">Alto</t>
  </si>
  <si>
    <t xml:space="preserve">Dinero mal cobrado, asistentes sin poder entrar, datos personales expuestos o reputación del evento.</t>
  </si>
  <si>
    <t xml:space="preserve">Nivel = Probabilidad × Impacto</t>
  </si>
  <si>
    <t xml:space="preserve">Rango</t>
  </si>
  <si>
    <t xml:space="preserve">Clasificación</t>
  </si>
  <si>
    <t xml:space="preserve">Qué implica (profundidad de prueba)</t>
  </si>
  <si>
    <t xml:space="preserve">6 a 9</t>
  </si>
  <si>
    <t xml:space="preserve">Primero y a fondo: varias técnicas, positivos y negativos, retest obligatorio, también en E2E. Importancia Alta en TestLink.</t>
  </si>
  <si>
    <t xml:space="preserve">3 a 4</t>
  </si>
  <si>
    <t xml:space="preserve">Técnica principal y valores límite; se ejecuta después de los altos. Importancia Media.</t>
  </si>
  <si>
    <t xml:space="preserve">1 a 2</t>
  </si>
  <si>
    <t xml:space="preserve">Pocos casos o smoke; se puede aceptar y documentar. Importancia Baja.</t>
  </si>
  <si>
    <t xml:space="preserve">Respuesta al riesgo</t>
  </si>
  <si>
    <t xml:space="preserve">Respuesta</t>
  </si>
  <si>
    <t xml:space="preserve">Cuándo usarla</t>
  </si>
  <si>
    <t xml:space="preserve">Mitigar con pruebas</t>
  </si>
  <si>
    <t xml:space="preserve">Casos que detecten la falla y reduzcan su probabilidad o su impacto. Respuesta esperada para riesgos de producto alto y medio.</t>
  </si>
  <si>
    <t xml:space="preserve">Aceptar</t>
  </si>
  <si>
    <t xml:space="preserve">Riesgo bajo: se documenta y se prueba lo mínimo.</t>
  </si>
  <si>
    <t xml:space="preserve">Transferir</t>
  </si>
  <si>
    <t xml:space="preserve">Otro lo asume o lo comparte (otro grupo QA, equipo plataforma, otra entrega). Indiquen quién.</t>
  </si>
  <si>
    <t xml:space="preserve">Plan de contingencia</t>
  </si>
  <si>
    <t xml:space="preserve">Qué hará el grupo si el riesgo ocurre. Habitual en riesgos de proyecto.</t>
  </si>
  <si>
    <t xml:space="preserve">Registro de riesgos · Microservicio de Pagos · Grupo Pagos</t>
  </si>
  <si>
    <t xml:space="preserve">Amarillo: completar · Gris: fórmula (no editar) · Escala 1–3 (hoja «Escalas»)</t>
  </si>
  <si>
    <t xml:space="preserve">ID</t>
  </si>
  <si>
    <t xml:space="preserve">Tipo</t>
  </si>
  <si>
    <t xml:space="preserve">Riesgo (qué podría fallar)</t>
  </si>
  <si>
    <t xml:space="preserve">Requisito / HU</t>
  </si>
  <si>
    <t xml:space="preserve">Causa o condición</t>
  </si>
  <si>
    <t xml:space="preserve">Prob. (1-3)</t>
  </si>
  <si>
    <t xml:space="preserve">Impacto (1-3)</t>
  </si>
  <si>
    <t xml:space="preserve">Nivel P×I</t>
  </si>
  <si>
    <t xml:space="preserve">Técnica o acción</t>
  </si>
  <si>
    <t xml:space="preserve">Orden de ejecución</t>
  </si>
  <si>
    <t xml:space="preserve">Casos TestLink</t>
  </si>
  <si>
    <t xml:space="preserve">Importancia TestLink</t>
  </si>
  <si>
    <t xml:space="preserve">Responsable</t>
  </si>
  <si>
    <t xml:space="preserve">Estado</t>
  </si>
  <si>
    <t xml:space="preserve">Revisión (entrega)</t>
  </si>
  <si>
    <t xml:space="preserve">R1</t>
  </si>
  <si>
    <t xml:space="preserve">Producto</t>
  </si>
  <si>
    <t xml:space="preserve">Se cobra dos veces la misma reserva</t>
  </si>
  <si>
    <t xml:space="preserve">HU 1.1</t>
  </si>
  <si>
    <t xml:space="preserve">Entradas reintenta el POST ante un timeout o llegan dos solicitudes simultáneas</t>
  </si>
  <si>
    <t xml:space="preserve">Tabla de decisión de idempotencia (reserva × total × usuario) y solicitudes simultáneas</t>
  </si>
  <si>
    <t xml:space="preserve">TC-PAG-01 a 03, E2E-PAG-01, E2E-PAG-02, E2E-PAG-03</t>
  </si>
  <si>
    <t xml:space="preserve">Simón Canales</t>
  </si>
  <si>
    <t xml:space="preserve">En mitigación</t>
  </si>
  <si>
    <t xml:space="preserve">Entrega 1</t>
  </si>
  <si>
    <t xml:space="preserve">R2</t>
  </si>
  <si>
    <t xml:space="preserve">Se cobra un monto distinto al total de la reserva</t>
  </si>
  <si>
    <t xml:space="preserve">El total viene de Entradas; CLP sin decimales; montos fuera de rango</t>
  </si>
  <si>
    <t xml:space="preserve">Valores límite sobre total y partición de equivalencia contra la reserva de Entradas</t>
  </si>
  <si>
    <t xml:space="preserve">TC-PAG-04 a 07, E2E-PAG-01, E2E-PAG-06</t>
  </si>
  <si>
    <t xml:space="preserve">R3</t>
  </si>
  <si>
    <t xml:space="preserve">El pago no cambia a APROBADO tras pagar y Entradas no confirma las entradas</t>
  </si>
  <si>
    <t xml:space="preserve">HU 1.3, HU 1.6</t>
  </si>
  <si>
    <t xml:space="preserve">Confirmación asíncrona: depende del webhook de Stripe o del polling</t>
  </si>
  <si>
    <t xml:space="preserve">Tabla de decisión estado × evento: webhook, consulta sin webhook y sesión expirada</t>
  </si>
  <si>
    <t xml:space="preserve">TC-PAG-08 a 10, E2E-PAG-01</t>
  </si>
  <si>
    <t xml:space="preserve">Cristóbal Soto</t>
  </si>
  <si>
    <t xml:space="preserve">R4</t>
  </si>
  <si>
    <t xml:space="preserve">Un pago cambia a un estado no permitido (por ejemplo, APROBADO a RECHAZADO)</t>
  </si>
  <si>
    <t xml:space="preserve">HU 1.4</t>
  </si>
  <si>
    <t xml:space="preserve">Eventos de Stripe que llegan tarde o desordenados; reembolso sobre estados finales</t>
  </si>
  <si>
    <t xml:space="preserve">Tabla de decisión estado × evento: eventos tardíos sobre estados finales; tarjeta rechazada</t>
  </si>
  <si>
    <t xml:space="preserve">TC-PAG-11 a 12, E2E-PAG-02</t>
  </si>
  <si>
    <t xml:space="preserve">R5</t>
  </si>
  <si>
    <t xml:space="preserve">El reembolso se hace dos veces o sobre un pago que no correspondía</t>
  </si>
  <si>
    <t xml:space="preserve">HU 3.1, HU 3.3</t>
  </si>
  <si>
    <t xml:space="preserve">Entradas reintenta la anulación; el usuario paga justo antes de anular</t>
  </si>
  <si>
    <t xml:space="preserve">Tabla de decisión estado × reembolso y partición del reintento idempotente</t>
  </si>
  <si>
    <t xml:space="preserve">TC-PAG-13 a 15, E2E-PAG-04, E2E-PAG-05</t>
  </si>
  <si>
    <t xml:space="preserve">R6</t>
  </si>
  <si>
    <t xml:space="preserve">Un comprador ve o reembolsa pagos de otro usuario</t>
  </si>
  <si>
    <t xml:space="preserve">HU 1.1, HU 1.6, HU 3.1, HU 3.4</t>
  </si>
  <si>
    <t xml:space="preserve">Política de autorización por rol (comprador, SERVICIO, ADMIN) en cada endpoint</t>
  </si>
  <si>
    <t xml:space="preserve">Tabla de decisión: rol × operación × dueño del pago</t>
  </si>
  <si>
    <t xml:space="preserve">TC-PAG-16 a 19, TC-PAG-36, E2E-PAG-07</t>
  </si>
  <si>
    <t xml:space="preserve">Alonso Venegas</t>
  </si>
  <si>
    <t xml:space="preserve">R7</t>
  </si>
  <si>
    <t xml:space="preserve">Una solicitud inválida se acepta o el error no indica qué corregir</t>
  </si>
  <si>
    <t xml:space="preserve">HU 1.4, HU 3.1</t>
  </si>
  <si>
    <t xml:space="preserve">Validación de tipos, campos obligatorios, identificadores y motivo</t>
  </si>
  <si>
    <t xml:space="preserve">Partición de equivalencia y valores límite sobre el body, los parámetros y el motivo</t>
  </si>
  <si>
    <t xml:space="preserve">TC-PAG-20 a 22, TC-PAG-37</t>
  </si>
  <si>
    <t xml:space="preserve">Abierto</t>
  </si>
  <si>
    <t xml:space="preserve">R8</t>
  </si>
  <si>
    <t xml:space="preserve">Se acepta un aviso falso de Stripe o un aviso repetido se procesa dos veces</t>
  </si>
  <si>
    <t xml:space="preserve">HU 1.3</t>
  </si>
  <si>
    <t xml:space="preserve">El webhook es público; Stripe reintenta los envíos</t>
  </si>
  <si>
    <t xml:space="preserve">Partición de equivalencia: firma inválida, sin firma, cuerpo inválido y evento duplicado</t>
  </si>
  <si>
    <t xml:space="preserve">TC-PAG-23 a 24</t>
  </si>
  <si>
    <t xml:space="preserve">R9</t>
  </si>
  <si>
    <t xml:space="preserve">El formulario de pago no avisa errores de la tarjeta o deja enviar datos incompletos</t>
  </si>
  <si>
    <t xml:space="preserve">HU 1.2</t>
  </si>
  <si>
    <t xml:space="preserve">Validación en el cliente con Stripe Elements</t>
  </si>
  <si>
    <t xml:space="preserve">Partición de equivalencia de los campos del formulario (vacíos e inválidos)</t>
  </si>
  <si>
    <t xml:space="preserve">TC-PAG-25 a 26</t>
  </si>
  <si>
    <t xml:space="preserve">Pablo Medina</t>
  </si>
  <si>
    <t xml:space="preserve">R10</t>
  </si>
  <si>
    <t xml:space="preserve">Ante tarjeta rechazada o pasarela caída el usuario no recibe un mensaje claro</t>
  </si>
  <si>
    <t xml:space="preserve">Errores de Stripe (rechazo, timeout de 1.200 ms)</t>
  </si>
  <si>
    <t xml:space="preserve">Partición de equivalencia: tarjeta rechazada, sin fondos y pasarela sin respuesta</t>
  </si>
  <si>
    <t xml:space="preserve">TC-PAG-27 a 28, E2E-PAG-02</t>
  </si>
  <si>
    <t xml:space="preserve">R11</t>
  </si>
  <si>
    <t xml:space="preserve">El comprobante muestra datos incorrectos</t>
  </si>
  <si>
    <t xml:space="preserve">HU 1.5</t>
  </si>
  <si>
    <t xml:space="preserve">Datos tomados del GET del pago</t>
  </si>
  <si>
    <t xml:space="preserve">Partición por estado del pago en la pantalla de comprobante</t>
  </si>
  <si>
    <t xml:space="preserve">TC-PAG-29, E2E-PAG-07</t>
  </si>
  <si>
    <t xml:space="preserve">R12</t>
  </si>
  <si>
    <t xml:space="preserve">El listado para Promociones filtra o pagina mal</t>
  </si>
  <si>
    <t xml:space="preserve">HU 3.4</t>
  </si>
  <si>
    <t xml:space="preserve">Filtros opcionales y paginación</t>
  </si>
  <si>
    <t xml:space="preserve">Valores límite (pagina, limite) y partición de equivalencia de filtros</t>
  </si>
  <si>
    <t xml:space="preserve">TC-PAG-30 a 32, E2E-PAG-08</t>
  </si>
  <si>
    <t xml:space="preserve">R13</t>
  </si>
  <si>
    <t xml:space="preserve">Se elimina un pago que movió dinero o lo elimina un rol no autorizado</t>
  </si>
  <si>
    <t xml:space="preserve">Operación de BD (requisito del curso TITEC)</t>
  </si>
  <si>
    <t xml:space="preserve">DELETE solo para ADMIN y pagos RECHAZADOS o ANULADOS</t>
  </si>
  <si>
    <t xml:space="preserve">Tabla de decisión: estado del pago × rol</t>
  </si>
  <si>
    <t xml:space="preserve">TC-PAG-33 a 35</t>
  </si>
  <si>
    <t xml:space="preserve">R14</t>
  </si>
  <si>
    <t xml:space="preserve">Los tiempos de respuesta superan el SLA del contrato con carga</t>
  </si>
  <si>
    <t xml:space="preserve">Contrato Entradas ↔ Pagos (SLA)</t>
  </si>
  <si>
    <t xml:space="preserve">Llamadas a Stripe y a Entradas en el camino crítico</t>
  </si>
  <si>
    <t xml:space="preserve">Se prueba en la Entrega 3 con Locust (plan de carga aparte)</t>
  </si>
  <si>
    <t xml:space="preserve">Entrega 3 (Locust)</t>
  </si>
  <si>
    <t xml:space="preserve">Ricardo Muñoz</t>
  </si>
  <si>
    <t xml:space="preserve">R15</t>
  </si>
  <si>
    <t xml:space="preserve">Proyecto</t>
  </si>
  <si>
    <t xml:space="preserve">El servicio real de Entradas no está disponible y no se puede probar la integración</t>
  </si>
  <si>
    <t xml:space="preserve">Tabla de dependencias TITEC</t>
  </si>
  <si>
    <t xml:space="preserve">En el Avance 1 Entradas está simulado (ENTRADAS_MODO=mock)</t>
  </si>
  <si>
    <t xml:space="preserve">Probar contra el mock según el contrato; la integración real pasa a la Entrega 2 o 3</t>
  </si>
  <si>
    <t xml:space="preserve">—</t>
  </si>
  <si>
    <t xml:space="preserve">Diego Fernández</t>
  </si>
  <si>
    <t xml:space="preserve">Materializado</t>
  </si>
  <si>
    <t xml:space="preserve">R16</t>
  </si>
  <si>
    <t xml:space="preserve">El ambiente de prueba no está disponible (Supabase pausado o Stripe lento)</t>
  </si>
  <si>
    <t xml:space="preserve">REQ-OP-01</t>
  </si>
  <si>
    <t xml:space="preserve">Plan gratuito de Supabase se pausa por inactividad; Stripe en modo test con timeout bajo</t>
  </si>
  <si>
    <t xml:space="preserve">Reanudar Supabase y correr TC-PAG-38 (health) antes de cada sesión; plan B: PostgreSQL local con docker-compose y PASARELA=mock</t>
  </si>
  <si>
    <t xml:space="preserve">TC-PAG-38</t>
  </si>
  <si>
    <t xml:space="preserve">R17</t>
  </si>
  <si>
    <t xml:space="preserve">El contrato de la API cambia entre avances y deja casos desactualizados</t>
  </si>
  <si>
    <t xml:space="preserve">Ajustes de contrato con Entradas y Promociones (ej. token_sesion, id_evento opcional)</t>
  </si>
  <si>
    <t xml:space="preserve">Revisar el Swagger y los contratos al inicio de cada entrega y versionar la colección</t>
  </si>
  <si>
    <t xml:space="preserve">R18</t>
  </si>
  <si>
    <t xml:space="preserve">Poca disponibilidad del grupo por la carga académica</t>
  </si>
  <si>
    <t xml:space="preserve">Entregas de otros ramos en las mismas semanas</t>
  </si>
  <si>
    <t xml:space="preserve">Priorizar los riesgos altos y repartir los casos por integrante con fecha interna</t>
  </si>
  <si>
    <t xml:space="preserve">R19</t>
  </si>
  <si>
    <t xml:space="preserve">R20</t>
  </si>
  <si>
    <t xml:space="preserve">R21</t>
  </si>
  <si>
    <t xml:space="preserve">R22</t>
  </si>
  <si>
    <t xml:space="preserve">R23</t>
  </si>
  <si>
    <t xml:space="preserve">R24</t>
  </si>
  <si>
    <t xml:space="preserve">R25</t>
  </si>
  <si>
    <t xml:space="preserve">R26</t>
  </si>
  <si>
    <t xml:space="preserve">R27</t>
  </si>
  <si>
    <t xml:space="preserve">R28</t>
  </si>
  <si>
    <t xml:space="preserve">R29</t>
  </si>
  <si>
    <t xml:space="preserve">R30</t>
  </si>
  <si>
    <t xml:space="preserve">R31</t>
  </si>
  <si>
    <t xml:space="preserve">R32</t>
  </si>
  <si>
    <t xml:space="preserve">R33</t>
  </si>
  <si>
    <t xml:space="preserve">R34</t>
  </si>
  <si>
    <t xml:space="preserve">R35</t>
  </si>
  <si>
    <t xml:space="preserve">R36</t>
  </si>
  <si>
    <t xml:space="preserve">R37</t>
  </si>
  <si>
    <t xml:space="preserve">R38</t>
  </si>
  <si>
    <t xml:space="preserve">R39</t>
  </si>
  <si>
    <t xml:space="preserve">R40</t>
  </si>
  <si>
    <t xml:space="preserve">Matriz de riesgos 3 × 3</t>
  </si>
  <si>
    <t xml:space="preserve">Se calcula desde el «Registro de riesgos». Cada celda muestra el nivel (P × I) y la cantidad de riesgos.</t>
  </si>
  <si>
    <t xml:space="preserve">Prob. \ Impacto</t>
  </si>
  <si>
    <t xml:space="preserve">Bajo (1)</t>
  </si>
  <si>
    <t xml:space="preserve">Medio (2)</t>
  </si>
  <si>
    <t xml:space="preserve">Alto (3)</t>
  </si>
  <si>
    <t xml:space="preserve">Alta (3)</t>
  </si>
  <si>
    <t xml:space="preserve">6–9 · primero y a fondo</t>
  </si>
  <si>
    <t xml:space="preserve">Media (2)</t>
  </si>
  <si>
    <t xml:space="preserve">3–4 · técnica principal</t>
  </si>
  <si>
    <t xml:space="preserve">Baja (1)</t>
  </si>
  <si>
    <t xml:space="preserve">1–2 · mínimo o smoke</t>
  </si>
  <si>
    <t xml:space="preserve">Impacto →  ·  ↑ Probabilidad</t>
  </si>
  <si>
    <t xml:space="preserve">Resumen por clasificación y tipo</t>
  </si>
  <si>
    <t xml:space="preserve">Total</t>
  </si>
  <si>
    <t xml:space="preserve">Mínimo para la Entrega 1</t>
  </si>
  <si>
    <t xml:space="preserve">Riesgos de producto</t>
  </si>
  <si>
    <t xml:space="preserve">Meta: ≥ 8</t>
  </si>
  <si>
    <t xml:space="preserve">Riesgos de proyecto</t>
  </si>
  <si>
    <t xml:space="preserve">Meta: ≥ 3</t>
  </si>
  <si>
    <t xml:space="preserve">Altos/medios sin respuesta</t>
  </si>
  <si>
    <t xml:space="preserve">Meta: 0</t>
  </si>
  <si>
    <t xml:space="preserve">Altos de producto sin casos TestLink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</si>
</sst>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C9A227"/>
      <name val="Calibri"/>
      <family val="0"/>
      <charset val="1"/>
    </font>
    <font>
      <b val="true"/>
      <sz val="20"/>
      <color rgb="FF0B3D59"/>
      <name val="Calibri"/>
      <family val="0"/>
      <charset val="1"/>
    </font>
    <font>
      <i val="true"/>
      <sz val="11"/>
      <color rgb="FF222222"/>
      <name val="Calibri"/>
      <family val="0"/>
      <charset val="1"/>
    </font>
    <font>
      <b val="true"/>
      <sz val="11"/>
      <color rgb="FF0B3D59"/>
      <name val="Calibri"/>
      <family val="0"/>
      <charset val="1"/>
    </font>
    <font>
      <sz val="11"/>
      <name val="Calibri"/>
      <family val="0"/>
      <charset val="1"/>
    </font>
    <font>
      <b val="true"/>
      <sz val="14"/>
      <color rgb="FF0B3D59"/>
      <name val="Calibri"/>
      <family val="0"/>
      <charset val="1"/>
    </font>
    <font>
      <sz val="11"/>
      <color rgb="FF222222"/>
      <name val="Calibri"/>
      <family val="0"/>
      <charset val="1"/>
    </font>
    <font>
      <b val="true"/>
      <sz val="11"/>
      <color rgb="FF222222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i val="true"/>
      <sz val="10"/>
      <color rgb="FF666666"/>
      <name val="Calibri"/>
      <family val="0"/>
      <charset val="1"/>
    </font>
    <font>
      <b val="true"/>
      <sz val="18"/>
      <color rgb="FF0B3D59"/>
      <name val="Calibri"/>
      <family val="0"/>
      <charset val="1"/>
    </font>
    <font>
      <b val="true"/>
      <sz val="13"/>
      <color rgb="FFC9A227"/>
      <name val="Calibri"/>
      <family val="0"/>
      <charset val="1"/>
    </font>
    <font>
      <b val="true"/>
      <sz val="16"/>
      <color rgb="FF0B3D59"/>
      <name val="Calibri"/>
      <family val="0"/>
      <charset val="1"/>
    </font>
    <font>
      <i val="true"/>
      <sz val="10"/>
      <color rgb="FF222222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4CC"/>
        <bgColor rgb="FFEDEFF2"/>
      </patternFill>
    </fill>
    <fill>
      <patternFill patternType="solid">
        <fgColor rgb="FFEDEFF2"/>
        <bgColor rgb="FFFFFFFF"/>
      </patternFill>
    </fill>
    <fill>
      <patternFill patternType="solid">
        <fgColor rgb="FFB83A3A"/>
        <bgColor rgb="FF993366"/>
      </patternFill>
    </fill>
    <fill>
      <patternFill patternType="solid">
        <fgColor rgb="FFE0B324"/>
        <bgColor rgb="FFC9A227"/>
      </patternFill>
    </fill>
    <fill>
      <patternFill patternType="solid">
        <fgColor rgb="FF2E7D4F"/>
        <bgColor rgb="FF008080"/>
      </patternFill>
    </fill>
    <fill>
      <patternFill patternType="solid">
        <fgColor rgb="FF0B3D59"/>
        <bgColor rgb="FF22222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BE1"/>
      </left>
      <right style="thin">
        <color rgb="FFD5DBE1"/>
      </right>
      <top style="thin">
        <color rgb="FFD5DBE1"/>
      </top>
      <bottom style="thin">
        <color rgb="FFD5DB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0B3D59"/>
          <bgColor rgb="FF000000"/>
        </patternFill>
      </fill>
    </dxf>
    <dxf>
      <fill>
        <patternFill patternType="solid">
          <fgColor rgb="FFEDEF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4CC"/>
          <bgColor rgb="FF000000"/>
        </patternFill>
      </fill>
    </dxf>
    <dxf>
      <fill>
        <patternFill patternType="solid">
          <fgColor rgb="FF222222"/>
          <bgColor rgb="FF000000"/>
        </patternFill>
      </fill>
    </dxf>
    <dxf>
      <fill>
        <patternFill patternType="solid">
          <fgColor rgb="FF2E7D4F"/>
          <bgColor rgb="FF000000"/>
        </patternFill>
      </fill>
    </dxf>
    <dxf>
      <fill>
        <patternFill patternType="solid">
          <fgColor rgb="FFB83A3A"/>
          <bgColor rgb="FF000000"/>
        </patternFill>
      </fill>
    </dxf>
    <dxf>
      <fill>
        <patternFill patternType="solid">
          <fgColor rgb="FFE0B324"/>
          <bgColor rgb="FF000000"/>
        </patternFill>
      </fill>
    </dxf>
    <dxf>
      <font>
        <name val="Calibri"/>
        <charset val="1"/>
        <family val="0"/>
        <b val="1"/>
        <color rgb="FFFFFFFF"/>
      </font>
      <fill>
        <patternFill>
          <bgColor rgb="FFB83A3A"/>
        </patternFill>
      </fill>
    </dxf>
    <dxf>
      <font>
        <name val="Calibri"/>
        <charset val="1"/>
        <family val="0"/>
        <b val="1"/>
        <color rgb="FFFFFFFF"/>
      </font>
      <fill>
        <patternFill>
          <bgColor rgb="FFE0B324"/>
        </patternFill>
      </fill>
    </dxf>
    <dxf>
      <font>
        <name val="Calibri"/>
        <charset val="1"/>
        <family val="0"/>
        <b val="1"/>
        <color rgb="FFFFFFFF"/>
      </font>
      <fill>
        <patternFill>
          <bgColor rgb="FF2E7D4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B83A3A"/>
      <rgbColor rgb="FFFFF4CC"/>
      <rgbColor rgb="FFEDEFF2"/>
      <rgbColor rgb="FF660066"/>
      <rgbColor rgb="FFFF8080"/>
      <rgbColor rgb="FF0066CC"/>
      <rgbColor rgb="FFD5DB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E0B324"/>
      <rgbColor rgb="FFC9A227"/>
      <rgbColor rgb="FFFF6600"/>
      <rgbColor rgb="FF666666"/>
      <rgbColor rgb="FF969696"/>
      <rgbColor rgb="FF0B3D59"/>
      <rgbColor rgb="FF2E7D4F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3D59"/>
    <pageSetUpPr fitToPage="false"/>
  </sheetPr>
  <dimension ref="B2:C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4"/>
    <col collapsed="false" customWidth="true" hidden="false" outlineLevel="0" max="3" min="3" style="1" width="95"/>
  </cols>
  <sheetData>
    <row r="2" customFormat="false" ht="15" hidden="false" customHeight="true" outlineLevel="0" collapsed="false">
      <c r="B2" s="2" t="s">
        <v>0</v>
      </c>
    </row>
    <row r="3" customFormat="false" ht="24" hidden="false" customHeight="true" outlineLevel="0" collapsed="false">
      <c r="B3" s="3" t="s">
        <v>1</v>
      </c>
    </row>
    <row r="4" customFormat="false" ht="15" hidden="false" customHeight="true" outlineLevel="0" collapsed="false">
      <c r="B4" s="4" t="s">
        <v>2</v>
      </c>
    </row>
    <row r="6" customFormat="false" ht="15" hidden="false" customHeight="true" outlineLevel="0" collapsed="false">
      <c r="B6" s="5" t="s">
        <v>3</v>
      </c>
      <c r="C6" s="6" t="s">
        <v>4</v>
      </c>
    </row>
    <row r="7" customFormat="false" ht="15" hidden="false" customHeight="true" outlineLevel="0" collapsed="false">
      <c r="B7" s="5" t="s">
        <v>5</v>
      </c>
      <c r="C7" s="6" t="s">
        <v>6</v>
      </c>
    </row>
    <row r="8" customFormat="false" ht="15" hidden="false" customHeight="true" outlineLevel="0" collapsed="false">
      <c r="B8" s="5" t="s">
        <v>7</v>
      </c>
      <c r="C8" s="6" t="s">
        <v>8</v>
      </c>
    </row>
    <row r="9" customFormat="false" ht="15" hidden="false" customHeight="true" outlineLevel="0" collapsed="false">
      <c r="B9" s="5" t="s">
        <v>9</v>
      </c>
      <c r="C9" s="6" t="s">
        <v>10</v>
      </c>
    </row>
    <row r="10" customFormat="false" ht="15" hidden="false" customHeight="true" outlineLevel="0" collapsed="false">
      <c r="B10" s="5" t="s">
        <v>11</v>
      </c>
      <c r="C10" s="6" t="s">
        <v>12</v>
      </c>
    </row>
    <row r="12" customFormat="false" ht="17.25" hidden="false" customHeight="true" outlineLevel="0" collapsed="false">
      <c r="B12" s="7" t="s">
        <v>13</v>
      </c>
    </row>
    <row r="13" customFormat="false" ht="31.5" hidden="false" customHeight="true" outlineLevel="0" collapsed="false">
      <c r="B13" s="5" t="s">
        <v>14</v>
      </c>
      <c r="C13" s="8" t="s">
        <v>15</v>
      </c>
    </row>
    <row r="14" customFormat="false" ht="31.5" hidden="false" customHeight="true" outlineLevel="0" collapsed="false">
      <c r="B14" s="5" t="s">
        <v>16</v>
      </c>
      <c r="C14" s="8" t="s">
        <v>17</v>
      </c>
    </row>
    <row r="15" customFormat="false" ht="31.5" hidden="false" customHeight="true" outlineLevel="0" collapsed="false">
      <c r="B15" s="5" t="s">
        <v>18</v>
      </c>
      <c r="C15" s="8" t="s">
        <v>19</v>
      </c>
    </row>
    <row r="16" customFormat="false" ht="31.5" hidden="false" customHeight="true" outlineLevel="0" collapsed="false">
      <c r="B16" s="5" t="s">
        <v>20</v>
      </c>
      <c r="C16" s="8" t="s">
        <v>21</v>
      </c>
    </row>
    <row r="17" customFormat="false" ht="31.5" hidden="false" customHeight="true" outlineLevel="0" collapsed="false">
      <c r="B17" s="5" t="s">
        <v>22</v>
      </c>
      <c r="C17" s="8" t="s">
        <v>23</v>
      </c>
    </row>
    <row r="18" customFormat="false" ht="31.5" hidden="false" customHeight="true" outlineLevel="0" collapsed="false">
      <c r="B18" s="5" t="s">
        <v>24</v>
      </c>
      <c r="C18" s="8" t="s">
        <v>25</v>
      </c>
    </row>
    <row r="19" customFormat="false" ht="31.5" hidden="false" customHeight="true" outlineLevel="0" collapsed="false">
      <c r="B19" s="5" t="s">
        <v>26</v>
      </c>
      <c r="C19" s="8" t="s">
        <v>27</v>
      </c>
    </row>
    <row r="21" customFormat="false" ht="17.25" hidden="false" customHeight="true" outlineLevel="0" collapsed="false">
      <c r="B21" s="7" t="s">
        <v>28</v>
      </c>
    </row>
    <row r="22" customFormat="false" ht="15" hidden="false" customHeight="true" outlineLevel="0" collapsed="false">
      <c r="B22" s="9" t="s">
        <v>29</v>
      </c>
      <c r="C22" s="10" t="s">
        <v>30</v>
      </c>
    </row>
    <row r="23" customFormat="false" ht="15" hidden="false" customHeight="true" outlineLevel="0" collapsed="false">
      <c r="B23" s="11" t="s">
        <v>31</v>
      </c>
      <c r="C23" s="10" t="s">
        <v>32</v>
      </c>
    </row>
    <row r="24" customFormat="false" ht="15" hidden="false" customHeight="true" outlineLevel="0" collapsed="false">
      <c r="B24" s="12" t="s">
        <v>33</v>
      </c>
      <c r="C24" s="10" t="s">
        <v>34</v>
      </c>
    </row>
    <row r="25" customFormat="false" ht="15" hidden="false" customHeight="true" outlineLevel="0" collapsed="false">
      <c r="B25" s="13" t="s">
        <v>35</v>
      </c>
      <c r="C25" s="10" t="s">
        <v>34</v>
      </c>
    </row>
    <row r="26" customFormat="false" ht="15" hidden="false" customHeight="true" outlineLevel="0" collapsed="false">
      <c r="B26" s="14" t="s">
        <v>36</v>
      </c>
      <c r="C26" s="10" t="s">
        <v>34</v>
      </c>
    </row>
    <row r="28" customFormat="false" ht="15" hidden="false" customHeight="true" outlineLevel="0" collapsed="false">
      <c r="B28" s="15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3D59"/>
    <pageSetUpPr fitToPage="false"/>
  </sheetPr>
  <dimension ref="B2:D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0"/>
    <col collapsed="false" customWidth="true" hidden="false" outlineLevel="0" max="3" min="3" style="1" width="16"/>
    <col collapsed="false" customWidth="true" hidden="false" outlineLevel="0" max="4" min="4" style="1" width="90"/>
  </cols>
  <sheetData>
    <row r="2" customFormat="false" ht="21.75" hidden="false" customHeight="true" outlineLevel="0" collapsed="false">
      <c r="B2" s="16" t="s">
        <v>38</v>
      </c>
    </row>
    <row r="3" customFormat="false" ht="15" hidden="false" customHeight="true" outlineLevel="0" collapsed="false">
      <c r="B3" s="4" t="s">
        <v>39</v>
      </c>
    </row>
    <row r="5" customFormat="false" ht="15.75" hidden="false" customHeight="true" outlineLevel="0" collapsed="false">
      <c r="B5" s="17" t="s">
        <v>40</v>
      </c>
    </row>
    <row r="6" customFormat="false" ht="15" hidden="false" customHeight="true" outlineLevel="0" collapsed="false">
      <c r="B6" s="18" t="s">
        <v>41</v>
      </c>
      <c r="C6" s="18" t="s">
        <v>42</v>
      </c>
      <c r="D6" s="18" t="s">
        <v>43</v>
      </c>
    </row>
    <row r="7" customFormat="false" ht="30" hidden="false" customHeight="true" outlineLevel="0" collapsed="false">
      <c r="B7" s="19" t="n">
        <v>1</v>
      </c>
      <c r="C7" s="19" t="s">
        <v>44</v>
      </c>
      <c r="D7" s="20" t="s">
        <v>45</v>
      </c>
    </row>
    <row r="8" customFormat="false" ht="30" hidden="false" customHeight="true" outlineLevel="0" collapsed="false">
      <c r="B8" s="19" t="n">
        <v>2</v>
      </c>
      <c r="C8" s="19" t="s">
        <v>46</v>
      </c>
      <c r="D8" s="20" t="s">
        <v>47</v>
      </c>
    </row>
    <row r="9" customFormat="false" ht="30" hidden="false" customHeight="true" outlineLevel="0" collapsed="false">
      <c r="B9" s="19" t="n">
        <v>3</v>
      </c>
      <c r="C9" s="19" t="s">
        <v>48</v>
      </c>
      <c r="D9" s="20" t="s">
        <v>49</v>
      </c>
    </row>
    <row r="11" customFormat="false" ht="15.75" hidden="false" customHeight="true" outlineLevel="0" collapsed="false">
      <c r="B11" s="17" t="s">
        <v>50</v>
      </c>
    </row>
    <row r="12" customFormat="false" ht="15" hidden="false" customHeight="true" outlineLevel="0" collapsed="false">
      <c r="B12" s="18" t="s">
        <v>41</v>
      </c>
      <c r="C12" s="18" t="s">
        <v>42</v>
      </c>
      <c r="D12" s="18" t="s">
        <v>43</v>
      </c>
    </row>
    <row r="13" customFormat="false" ht="30" hidden="false" customHeight="true" outlineLevel="0" collapsed="false">
      <c r="B13" s="19" t="n">
        <v>1</v>
      </c>
      <c r="C13" s="19" t="s">
        <v>51</v>
      </c>
      <c r="D13" s="20" t="s">
        <v>52</v>
      </c>
    </row>
    <row r="14" customFormat="false" ht="30" hidden="false" customHeight="true" outlineLevel="0" collapsed="false">
      <c r="B14" s="19" t="n">
        <v>2</v>
      </c>
      <c r="C14" s="19" t="s">
        <v>53</v>
      </c>
      <c r="D14" s="20" t="s">
        <v>54</v>
      </c>
    </row>
    <row r="15" customFormat="false" ht="30" hidden="false" customHeight="true" outlineLevel="0" collapsed="false">
      <c r="B15" s="19" t="n">
        <v>3</v>
      </c>
      <c r="C15" s="19" t="s">
        <v>55</v>
      </c>
      <c r="D15" s="20" t="s">
        <v>56</v>
      </c>
    </row>
    <row r="17" customFormat="false" ht="15.75" hidden="false" customHeight="true" outlineLevel="0" collapsed="false">
      <c r="B17" s="17" t="s">
        <v>57</v>
      </c>
    </row>
    <row r="18" customFormat="false" ht="15" hidden="false" customHeight="true" outlineLevel="0" collapsed="false">
      <c r="B18" s="18" t="s">
        <v>58</v>
      </c>
      <c r="C18" s="18" t="s">
        <v>59</v>
      </c>
      <c r="D18" s="18" t="s">
        <v>60</v>
      </c>
    </row>
    <row r="19" customFormat="false" ht="31.5" hidden="false" customHeight="true" outlineLevel="0" collapsed="false">
      <c r="B19" s="19" t="s">
        <v>61</v>
      </c>
      <c r="C19" s="21" t="s">
        <v>55</v>
      </c>
      <c r="D19" s="20" t="s">
        <v>62</v>
      </c>
    </row>
    <row r="20" customFormat="false" ht="31.5" hidden="false" customHeight="true" outlineLevel="0" collapsed="false">
      <c r="B20" s="19" t="s">
        <v>63</v>
      </c>
      <c r="C20" s="22" t="s">
        <v>53</v>
      </c>
      <c r="D20" s="20" t="s">
        <v>64</v>
      </c>
    </row>
    <row r="21" customFormat="false" ht="31.5" hidden="false" customHeight="true" outlineLevel="0" collapsed="false">
      <c r="B21" s="19" t="s">
        <v>65</v>
      </c>
      <c r="C21" s="23" t="s">
        <v>51</v>
      </c>
      <c r="D21" s="20" t="s">
        <v>66</v>
      </c>
    </row>
    <row r="23" customFormat="false" ht="15.75" hidden="false" customHeight="true" outlineLevel="0" collapsed="false">
      <c r="B23" s="17" t="s">
        <v>67</v>
      </c>
    </row>
    <row r="24" customFormat="false" ht="15" hidden="false" customHeight="true" outlineLevel="0" collapsed="false">
      <c r="B24" s="18" t="s">
        <v>68</v>
      </c>
      <c r="C24" s="18"/>
      <c r="D24" s="18" t="s">
        <v>69</v>
      </c>
    </row>
    <row r="25" customFormat="false" ht="30" hidden="false" customHeight="true" outlineLevel="0" collapsed="false">
      <c r="B25" s="19" t="s">
        <v>70</v>
      </c>
      <c r="C25" s="19"/>
      <c r="D25" s="20" t="s">
        <v>71</v>
      </c>
    </row>
    <row r="26" customFormat="false" ht="30" hidden="false" customHeight="true" outlineLevel="0" collapsed="false">
      <c r="B26" s="19" t="s">
        <v>72</v>
      </c>
      <c r="C26" s="19"/>
      <c r="D26" s="20" t="s">
        <v>73</v>
      </c>
    </row>
    <row r="27" customFormat="false" ht="30" hidden="false" customHeight="true" outlineLevel="0" collapsed="false">
      <c r="B27" s="19" t="s">
        <v>74</v>
      </c>
      <c r="C27" s="19"/>
      <c r="D27" s="20" t="s">
        <v>75</v>
      </c>
    </row>
    <row r="28" customFormat="false" ht="30" hidden="false" customHeight="true" outlineLevel="0" collapsed="false">
      <c r="B28" s="19" t="s">
        <v>76</v>
      </c>
      <c r="C28" s="19"/>
      <c r="D28" s="20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3D59"/>
    <pageSetUpPr fitToPage="false"/>
  </sheetPr>
  <dimension ref="A1:Q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1"/>
    <col collapsed="false" customWidth="true" hidden="false" outlineLevel="0" max="3" min="3" style="1" width="40"/>
    <col collapsed="false" customWidth="true" hidden="false" outlineLevel="0" max="4" min="4" style="1" width="14"/>
    <col collapsed="false" customWidth="true" hidden="false" outlineLevel="0" max="5" min="5" style="1" width="28"/>
    <col collapsed="false" customWidth="true" hidden="false" outlineLevel="0" max="8" min="6" style="1" width="9"/>
    <col collapsed="false" customWidth="true" hidden="false" outlineLevel="0" max="9" min="9" style="1" width="12"/>
    <col collapsed="false" customWidth="true" hidden="false" outlineLevel="0" max="10" min="10" style="1" width="20"/>
    <col collapsed="false" customWidth="true" hidden="false" outlineLevel="0" max="11" min="11" style="1" width="38"/>
    <col collapsed="false" customWidth="true" hidden="false" outlineLevel="0" max="12" min="12" style="1" width="10"/>
    <col collapsed="false" customWidth="true" hidden="false" outlineLevel="0" max="13" min="13" style="1" width="18"/>
    <col collapsed="false" customWidth="true" hidden="false" outlineLevel="0" max="14" min="14" style="1" width="12"/>
    <col collapsed="false" customWidth="true" hidden="false" outlineLevel="0" max="15" min="15" style="1" width="16"/>
    <col collapsed="false" customWidth="true" hidden="false" outlineLevel="0" max="17" min="16" style="1" width="14"/>
  </cols>
  <sheetData>
    <row r="1" customFormat="false" ht="19.5" hidden="false" customHeight="true" outlineLevel="0" collapsed="false">
      <c r="A1" s="24" t="s">
        <v>78</v>
      </c>
    </row>
    <row r="2" customFormat="false" ht="15" hidden="false" customHeight="true" outlineLevel="0" collapsed="false">
      <c r="A2" s="25" t="s">
        <v>79</v>
      </c>
    </row>
    <row r="4" customFormat="false" ht="33.75" hidden="false" customHeight="true" outlineLevel="0" collapsed="false">
      <c r="A4" s="18" t="s">
        <v>80</v>
      </c>
      <c r="B4" s="18" t="s">
        <v>81</v>
      </c>
      <c r="C4" s="18" t="s">
        <v>82</v>
      </c>
      <c r="D4" s="18" t="s">
        <v>83</v>
      </c>
      <c r="E4" s="18" t="s">
        <v>84</v>
      </c>
      <c r="F4" s="18" t="s">
        <v>85</v>
      </c>
      <c r="G4" s="18" t="s">
        <v>86</v>
      </c>
      <c r="H4" s="18" t="s">
        <v>87</v>
      </c>
      <c r="I4" s="18" t="s">
        <v>59</v>
      </c>
      <c r="J4" s="18" t="s">
        <v>68</v>
      </c>
      <c r="K4" s="18" t="s">
        <v>88</v>
      </c>
      <c r="L4" s="18" t="s">
        <v>89</v>
      </c>
      <c r="M4" s="18" t="s">
        <v>90</v>
      </c>
      <c r="N4" s="18" t="s">
        <v>91</v>
      </c>
      <c r="O4" s="18" t="s">
        <v>92</v>
      </c>
      <c r="P4" s="18" t="s">
        <v>93</v>
      </c>
      <c r="Q4" s="18" t="s">
        <v>94</v>
      </c>
    </row>
    <row r="5" customFormat="false" ht="15" hidden="false" customHeight="true" outlineLevel="0" collapsed="false">
      <c r="A5" s="26" t="s">
        <v>95</v>
      </c>
      <c r="B5" s="27" t="s">
        <v>96</v>
      </c>
      <c r="C5" s="28" t="s">
        <v>97</v>
      </c>
      <c r="D5" s="28" t="s">
        <v>98</v>
      </c>
      <c r="E5" s="28" t="s">
        <v>99</v>
      </c>
      <c r="F5" s="27" t="n">
        <v>2</v>
      </c>
      <c r="G5" s="27" t="n">
        <v>3</v>
      </c>
      <c r="H5" s="29" t="n">
        <f aca="false">IF(OR(F5="",G5=""),"",F5*G5)</f>
        <v>6</v>
      </c>
      <c r="I5" s="30" t="str">
        <f aca="false">IF(H5="","",IF(H5&gt;=6,"Alto",IF(H5&gt;=3,"Medio","Bajo")))</f>
        <v>Alto</v>
      </c>
      <c r="J5" s="28" t="s">
        <v>70</v>
      </c>
      <c r="K5" s="28" t="s">
        <v>100</v>
      </c>
      <c r="L5" s="27" t="n">
        <v>2</v>
      </c>
      <c r="M5" s="28" t="s">
        <v>101</v>
      </c>
      <c r="N5" s="30" t="str">
        <f aca="false">IF(I5="","",IF(I5="Alto","Alta",IF(I5="Medio","Media","Baja")))</f>
        <v>Alta</v>
      </c>
      <c r="O5" s="28" t="s">
        <v>102</v>
      </c>
      <c r="P5" s="27" t="s">
        <v>103</v>
      </c>
      <c r="Q5" s="27" t="s">
        <v>104</v>
      </c>
    </row>
    <row r="6" customFormat="false" ht="15" hidden="false" customHeight="true" outlineLevel="0" collapsed="false">
      <c r="A6" s="26" t="s">
        <v>105</v>
      </c>
      <c r="B6" s="27" t="s">
        <v>96</v>
      </c>
      <c r="C6" s="28" t="s">
        <v>106</v>
      </c>
      <c r="D6" s="28" t="s">
        <v>98</v>
      </c>
      <c r="E6" s="28" t="s">
        <v>107</v>
      </c>
      <c r="F6" s="27" t="n">
        <v>2</v>
      </c>
      <c r="G6" s="27" t="n">
        <v>3</v>
      </c>
      <c r="H6" s="29" t="n">
        <f aca="false">IF(OR(F6="",G6=""),"",F6*G6)</f>
        <v>6</v>
      </c>
      <c r="I6" s="30" t="str">
        <f aca="false">IF(H6="","",IF(H6&gt;=6,"Alto",IF(H6&gt;=3,"Medio","Bajo")))</f>
        <v>Alto</v>
      </c>
      <c r="J6" s="28" t="s">
        <v>70</v>
      </c>
      <c r="K6" s="28" t="s">
        <v>108</v>
      </c>
      <c r="L6" s="27" t="n">
        <v>1</v>
      </c>
      <c r="M6" s="28" t="s">
        <v>109</v>
      </c>
      <c r="N6" s="30" t="str">
        <f aca="false">IF(I6="","",IF(I6="Alto","Alta",IF(I6="Medio","Media","Baja")))</f>
        <v>Alta</v>
      </c>
      <c r="O6" s="28" t="s">
        <v>102</v>
      </c>
      <c r="P6" s="27" t="s">
        <v>103</v>
      </c>
      <c r="Q6" s="27" t="s">
        <v>104</v>
      </c>
    </row>
    <row r="7" customFormat="false" ht="15" hidden="false" customHeight="true" outlineLevel="0" collapsed="false">
      <c r="A7" s="26" t="s">
        <v>110</v>
      </c>
      <c r="B7" s="27" t="s">
        <v>96</v>
      </c>
      <c r="C7" s="28" t="s">
        <v>111</v>
      </c>
      <c r="D7" s="28" t="s">
        <v>112</v>
      </c>
      <c r="E7" s="28" t="s">
        <v>113</v>
      </c>
      <c r="F7" s="27" t="n">
        <v>3</v>
      </c>
      <c r="G7" s="27" t="n">
        <v>3</v>
      </c>
      <c r="H7" s="29" t="n">
        <f aca="false">IF(OR(F7="",G7=""),"",F7*G7)</f>
        <v>9</v>
      </c>
      <c r="I7" s="30" t="str">
        <f aca="false">IF(H7="","",IF(H7&gt;=6,"Alto",IF(H7&gt;=3,"Medio","Bajo")))</f>
        <v>Alto</v>
      </c>
      <c r="J7" s="28" t="s">
        <v>70</v>
      </c>
      <c r="K7" s="28" t="s">
        <v>114</v>
      </c>
      <c r="L7" s="27" t="n">
        <v>3</v>
      </c>
      <c r="M7" s="28" t="s">
        <v>115</v>
      </c>
      <c r="N7" s="30" t="str">
        <f aca="false">IF(I7="","",IF(I7="Alto","Alta",IF(I7="Medio","Media","Baja")))</f>
        <v>Alta</v>
      </c>
      <c r="O7" s="28" t="s">
        <v>116</v>
      </c>
      <c r="P7" s="27" t="s">
        <v>103</v>
      </c>
      <c r="Q7" s="27" t="s">
        <v>104</v>
      </c>
    </row>
    <row r="8" customFormat="false" ht="15" hidden="false" customHeight="true" outlineLevel="0" collapsed="false">
      <c r="A8" s="26" t="s">
        <v>117</v>
      </c>
      <c r="B8" s="27" t="s">
        <v>96</v>
      </c>
      <c r="C8" s="28" t="s">
        <v>118</v>
      </c>
      <c r="D8" s="28" t="s">
        <v>119</v>
      </c>
      <c r="E8" s="28" t="s">
        <v>120</v>
      </c>
      <c r="F8" s="27" t="n">
        <v>2</v>
      </c>
      <c r="G8" s="27" t="n">
        <v>3</v>
      </c>
      <c r="H8" s="29" t="n">
        <f aca="false">IF(OR(F8="",G8=""),"",F8*G8)</f>
        <v>6</v>
      </c>
      <c r="I8" s="30" t="str">
        <f aca="false">IF(H8="","",IF(H8&gt;=6,"Alto",IF(H8&gt;=3,"Medio","Bajo")))</f>
        <v>Alto</v>
      </c>
      <c r="J8" s="28" t="s">
        <v>70</v>
      </c>
      <c r="K8" s="28" t="s">
        <v>121</v>
      </c>
      <c r="L8" s="27" t="n">
        <v>5</v>
      </c>
      <c r="M8" s="28" t="s">
        <v>122</v>
      </c>
      <c r="N8" s="30" t="str">
        <f aca="false">IF(I8="","",IF(I8="Alto","Alta",IF(I8="Medio","Media","Baja")))</f>
        <v>Alta</v>
      </c>
      <c r="O8" s="28" t="s">
        <v>116</v>
      </c>
      <c r="P8" s="27" t="s">
        <v>103</v>
      </c>
      <c r="Q8" s="27" t="s">
        <v>104</v>
      </c>
    </row>
    <row r="9" customFormat="false" ht="15" hidden="false" customHeight="true" outlineLevel="0" collapsed="false">
      <c r="A9" s="26" t="s">
        <v>123</v>
      </c>
      <c r="B9" s="27" t="s">
        <v>96</v>
      </c>
      <c r="C9" s="28" t="s">
        <v>124</v>
      </c>
      <c r="D9" s="28" t="s">
        <v>125</v>
      </c>
      <c r="E9" s="28" t="s">
        <v>126</v>
      </c>
      <c r="F9" s="27" t="n">
        <v>2</v>
      </c>
      <c r="G9" s="27" t="n">
        <v>3</v>
      </c>
      <c r="H9" s="29" t="n">
        <f aca="false">IF(OR(F9="",G9=""),"",F9*G9)</f>
        <v>6</v>
      </c>
      <c r="I9" s="30" t="str">
        <f aca="false">IF(H9="","",IF(H9&gt;=6,"Alto",IF(H9&gt;=3,"Medio","Bajo")))</f>
        <v>Alto</v>
      </c>
      <c r="J9" s="28" t="s">
        <v>70</v>
      </c>
      <c r="K9" s="28" t="s">
        <v>127</v>
      </c>
      <c r="L9" s="27" t="n">
        <v>6</v>
      </c>
      <c r="M9" s="28" t="s">
        <v>128</v>
      </c>
      <c r="N9" s="30" t="str">
        <f aca="false">IF(I9="","",IF(I9="Alto","Alta",IF(I9="Medio","Media","Baja")))</f>
        <v>Alta</v>
      </c>
      <c r="O9" s="28" t="s">
        <v>116</v>
      </c>
      <c r="P9" s="27" t="s">
        <v>103</v>
      </c>
      <c r="Q9" s="27" t="s">
        <v>104</v>
      </c>
    </row>
    <row r="10" customFormat="false" ht="15" hidden="false" customHeight="true" outlineLevel="0" collapsed="false">
      <c r="A10" s="26" t="s">
        <v>129</v>
      </c>
      <c r="B10" s="27" t="s">
        <v>96</v>
      </c>
      <c r="C10" s="28" t="s">
        <v>130</v>
      </c>
      <c r="D10" s="28" t="s">
        <v>131</v>
      </c>
      <c r="E10" s="28" t="s">
        <v>132</v>
      </c>
      <c r="F10" s="27" t="n">
        <v>2</v>
      </c>
      <c r="G10" s="27" t="n">
        <v>3</v>
      </c>
      <c r="H10" s="29" t="n">
        <f aca="false">IF(OR(F10="",G10=""),"",F10*G10)</f>
        <v>6</v>
      </c>
      <c r="I10" s="30" t="str">
        <f aca="false">IF(H10="","",IF(H10&gt;=6,"Alto",IF(H10&gt;=3,"Medio","Bajo")))</f>
        <v>Alto</v>
      </c>
      <c r="J10" s="28" t="s">
        <v>70</v>
      </c>
      <c r="K10" s="28" t="s">
        <v>133</v>
      </c>
      <c r="L10" s="27" t="n">
        <v>7</v>
      </c>
      <c r="M10" s="28" t="s">
        <v>134</v>
      </c>
      <c r="N10" s="30" t="str">
        <f aca="false">IF(I10="","",IF(I10="Alto","Alta",IF(I10="Medio","Media","Baja")))</f>
        <v>Alta</v>
      </c>
      <c r="O10" s="28" t="s">
        <v>135</v>
      </c>
      <c r="P10" s="27" t="s">
        <v>103</v>
      </c>
      <c r="Q10" s="27" t="s">
        <v>104</v>
      </c>
    </row>
    <row r="11" customFormat="false" ht="15" hidden="false" customHeight="true" outlineLevel="0" collapsed="false">
      <c r="A11" s="26" t="s">
        <v>136</v>
      </c>
      <c r="B11" s="27" t="s">
        <v>96</v>
      </c>
      <c r="C11" s="28" t="s">
        <v>137</v>
      </c>
      <c r="D11" s="28" t="s">
        <v>138</v>
      </c>
      <c r="E11" s="28" t="s">
        <v>139</v>
      </c>
      <c r="F11" s="27" t="n">
        <v>2</v>
      </c>
      <c r="G11" s="27" t="n">
        <v>2</v>
      </c>
      <c r="H11" s="29" t="n">
        <f aca="false">IF(OR(F11="",G11=""),"",F11*G11)</f>
        <v>4</v>
      </c>
      <c r="I11" s="30" t="str">
        <f aca="false">IF(H11="","",IF(H11&gt;=6,"Alto",IF(H11&gt;=3,"Medio","Bajo")))</f>
        <v>Medio</v>
      </c>
      <c r="J11" s="28" t="s">
        <v>70</v>
      </c>
      <c r="K11" s="28" t="s">
        <v>140</v>
      </c>
      <c r="L11" s="27" t="n">
        <v>8</v>
      </c>
      <c r="M11" s="28" t="s">
        <v>141</v>
      </c>
      <c r="N11" s="30" t="str">
        <f aca="false">IF(I11="","",IF(I11="Alto","Alta",IF(I11="Medio","Media","Baja")))</f>
        <v>Media</v>
      </c>
      <c r="O11" s="28" t="s">
        <v>102</v>
      </c>
      <c r="P11" s="27" t="s">
        <v>142</v>
      </c>
      <c r="Q11" s="27" t="s">
        <v>104</v>
      </c>
    </row>
    <row r="12" customFormat="false" ht="15" hidden="false" customHeight="true" outlineLevel="0" collapsed="false">
      <c r="A12" s="26" t="s">
        <v>143</v>
      </c>
      <c r="B12" s="27" t="s">
        <v>96</v>
      </c>
      <c r="C12" s="28" t="s">
        <v>144</v>
      </c>
      <c r="D12" s="28" t="s">
        <v>145</v>
      </c>
      <c r="E12" s="28" t="s">
        <v>146</v>
      </c>
      <c r="F12" s="27" t="n">
        <v>2</v>
      </c>
      <c r="G12" s="27" t="n">
        <v>3</v>
      </c>
      <c r="H12" s="29" t="n">
        <f aca="false">IF(OR(F12="",G12=""),"",F12*G12)</f>
        <v>6</v>
      </c>
      <c r="I12" s="30" t="str">
        <f aca="false">IF(H12="","",IF(H12&gt;=6,"Alto",IF(H12&gt;=3,"Medio","Bajo")))</f>
        <v>Alto</v>
      </c>
      <c r="J12" s="28" t="s">
        <v>70</v>
      </c>
      <c r="K12" s="28" t="s">
        <v>147</v>
      </c>
      <c r="L12" s="27" t="n">
        <v>4</v>
      </c>
      <c r="M12" s="28" t="s">
        <v>148</v>
      </c>
      <c r="N12" s="30" t="str">
        <f aca="false">IF(I12="","",IF(I12="Alto","Alta",IF(I12="Medio","Media","Baja")))</f>
        <v>Alta</v>
      </c>
      <c r="O12" s="28" t="s">
        <v>116</v>
      </c>
      <c r="P12" s="27" t="s">
        <v>103</v>
      </c>
      <c r="Q12" s="27" t="s">
        <v>104</v>
      </c>
    </row>
    <row r="13" customFormat="false" ht="15" hidden="false" customHeight="true" outlineLevel="0" collapsed="false">
      <c r="A13" s="26" t="s">
        <v>149</v>
      </c>
      <c r="B13" s="27" t="s">
        <v>96</v>
      </c>
      <c r="C13" s="28" t="s">
        <v>150</v>
      </c>
      <c r="D13" s="28" t="s">
        <v>151</v>
      </c>
      <c r="E13" s="28" t="s">
        <v>152</v>
      </c>
      <c r="F13" s="27" t="n">
        <v>2</v>
      </c>
      <c r="G13" s="27" t="n">
        <v>2</v>
      </c>
      <c r="H13" s="29" t="n">
        <f aca="false">IF(OR(F13="",G13=""),"",F13*G13)</f>
        <v>4</v>
      </c>
      <c r="I13" s="30" t="str">
        <f aca="false">IF(H13="","",IF(H13&gt;=6,"Alto",IF(H13&gt;=3,"Medio","Bajo")))</f>
        <v>Medio</v>
      </c>
      <c r="J13" s="28" t="s">
        <v>70</v>
      </c>
      <c r="K13" s="28" t="s">
        <v>153</v>
      </c>
      <c r="L13" s="27" t="n">
        <v>12</v>
      </c>
      <c r="M13" s="28" t="s">
        <v>154</v>
      </c>
      <c r="N13" s="30" t="str">
        <f aca="false">IF(I13="","",IF(I13="Alto","Alta",IF(I13="Medio","Media","Baja")))</f>
        <v>Media</v>
      </c>
      <c r="O13" s="28" t="s">
        <v>155</v>
      </c>
      <c r="P13" s="27" t="s">
        <v>142</v>
      </c>
      <c r="Q13" s="27" t="s">
        <v>104</v>
      </c>
    </row>
    <row r="14" customFormat="false" ht="15" hidden="false" customHeight="true" outlineLevel="0" collapsed="false">
      <c r="A14" s="26" t="s">
        <v>156</v>
      </c>
      <c r="B14" s="27" t="s">
        <v>96</v>
      </c>
      <c r="C14" s="28" t="s">
        <v>157</v>
      </c>
      <c r="D14" s="28" t="s">
        <v>119</v>
      </c>
      <c r="E14" s="28" t="s">
        <v>158</v>
      </c>
      <c r="F14" s="27" t="n">
        <v>2</v>
      </c>
      <c r="G14" s="27" t="n">
        <v>2</v>
      </c>
      <c r="H14" s="29" t="n">
        <f aca="false">IF(OR(F14="",G14=""),"",F14*G14)</f>
        <v>4</v>
      </c>
      <c r="I14" s="30" t="str">
        <f aca="false">IF(H14="","",IF(H14&gt;=6,"Alto",IF(H14&gt;=3,"Medio","Bajo")))</f>
        <v>Medio</v>
      </c>
      <c r="J14" s="28" t="s">
        <v>70</v>
      </c>
      <c r="K14" s="28" t="s">
        <v>159</v>
      </c>
      <c r="L14" s="27" t="n">
        <v>9</v>
      </c>
      <c r="M14" s="28" t="s">
        <v>160</v>
      </c>
      <c r="N14" s="30" t="str">
        <f aca="false">IF(I14="","",IF(I14="Alto","Alta",IF(I14="Medio","Media","Baja")))</f>
        <v>Media</v>
      </c>
      <c r="O14" s="28" t="s">
        <v>155</v>
      </c>
      <c r="P14" s="27" t="s">
        <v>142</v>
      </c>
      <c r="Q14" s="27" t="s">
        <v>104</v>
      </c>
    </row>
    <row r="15" customFormat="false" ht="15" hidden="false" customHeight="true" outlineLevel="0" collapsed="false">
      <c r="A15" s="26" t="s">
        <v>161</v>
      </c>
      <c r="B15" s="27" t="s">
        <v>96</v>
      </c>
      <c r="C15" s="28" t="s">
        <v>162</v>
      </c>
      <c r="D15" s="28" t="s">
        <v>163</v>
      </c>
      <c r="E15" s="28" t="s">
        <v>164</v>
      </c>
      <c r="F15" s="27" t="n">
        <v>1</v>
      </c>
      <c r="G15" s="27" t="n">
        <v>2</v>
      </c>
      <c r="H15" s="29" t="n">
        <f aca="false">IF(OR(F15="",G15=""),"",F15*G15)</f>
        <v>2</v>
      </c>
      <c r="I15" s="30" t="str">
        <f aca="false">IF(H15="","",IF(H15&gt;=6,"Alto",IF(H15&gt;=3,"Medio","Bajo")))</f>
        <v>Bajo</v>
      </c>
      <c r="J15" s="28" t="s">
        <v>72</v>
      </c>
      <c r="K15" s="28" t="s">
        <v>165</v>
      </c>
      <c r="L15" s="27" t="n">
        <v>13</v>
      </c>
      <c r="M15" s="28" t="s">
        <v>166</v>
      </c>
      <c r="N15" s="30" t="str">
        <f aca="false">IF(I15="","",IF(I15="Alto","Alta",IF(I15="Medio","Media","Baja")))</f>
        <v>Baja</v>
      </c>
      <c r="O15" s="28" t="s">
        <v>155</v>
      </c>
      <c r="P15" s="27" t="s">
        <v>142</v>
      </c>
      <c r="Q15" s="27" t="s">
        <v>104</v>
      </c>
    </row>
    <row r="16" customFormat="false" ht="15" hidden="false" customHeight="true" outlineLevel="0" collapsed="false">
      <c r="A16" s="26" t="s">
        <v>167</v>
      </c>
      <c r="B16" s="27" t="s">
        <v>96</v>
      </c>
      <c r="C16" s="28" t="s">
        <v>168</v>
      </c>
      <c r="D16" s="28" t="s">
        <v>169</v>
      </c>
      <c r="E16" s="28" t="s">
        <v>170</v>
      </c>
      <c r="F16" s="27" t="n">
        <v>2</v>
      </c>
      <c r="G16" s="27" t="n">
        <v>2</v>
      </c>
      <c r="H16" s="29" t="n">
        <f aca="false">IF(OR(F16="",G16=""),"",F16*G16)</f>
        <v>4</v>
      </c>
      <c r="I16" s="30" t="str">
        <f aca="false">IF(H16="","",IF(H16&gt;=6,"Alto",IF(H16&gt;=3,"Medio","Bajo")))</f>
        <v>Medio</v>
      </c>
      <c r="J16" s="28" t="s">
        <v>70</v>
      </c>
      <c r="K16" s="28" t="s">
        <v>171</v>
      </c>
      <c r="L16" s="27" t="n">
        <v>10</v>
      </c>
      <c r="M16" s="28" t="s">
        <v>172</v>
      </c>
      <c r="N16" s="30" t="str">
        <f aca="false">IF(I16="","",IF(I16="Alto","Alta",IF(I16="Medio","Media","Baja")))</f>
        <v>Media</v>
      </c>
      <c r="O16" s="28" t="s">
        <v>102</v>
      </c>
      <c r="P16" s="27" t="s">
        <v>142</v>
      </c>
      <c r="Q16" s="27" t="s">
        <v>104</v>
      </c>
    </row>
    <row r="17" customFormat="false" ht="15" hidden="false" customHeight="true" outlineLevel="0" collapsed="false">
      <c r="A17" s="26" t="s">
        <v>173</v>
      </c>
      <c r="B17" s="27" t="s">
        <v>96</v>
      </c>
      <c r="C17" s="28" t="s">
        <v>174</v>
      </c>
      <c r="D17" s="28" t="s">
        <v>175</v>
      </c>
      <c r="E17" s="28" t="s">
        <v>176</v>
      </c>
      <c r="F17" s="27" t="n">
        <v>1</v>
      </c>
      <c r="G17" s="27" t="n">
        <v>3</v>
      </c>
      <c r="H17" s="29" t="n">
        <f aca="false">IF(OR(F17="",G17=""),"",F17*G17)</f>
        <v>3</v>
      </c>
      <c r="I17" s="30" t="str">
        <f aca="false">IF(H17="","",IF(H17&gt;=6,"Alto",IF(H17&gt;=3,"Medio","Bajo")))</f>
        <v>Medio</v>
      </c>
      <c r="J17" s="28" t="s">
        <v>70</v>
      </c>
      <c r="K17" s="28" t="s">
        <v>177</v>
      </c>
      <c r="L17" s="27" t="n">
        <v>11</v>
      </c>
      <c r="M17" s="28" t="s">
        <v>178</v>
      </c>
      <c r="N17" s="30" t="str">
        <f aca="false">IF(I17="","",IF(I17="Alto","Alta",IF(I17="Medio","Media","Baja")))</f>
        <v>Media</v>
      </c>
      <c r="O17" s="28" t="s">
        <v>116</v>
      </c>
      <c r="P17" s="27" t="s">
        <v>142</v>
      </c>
      <c r="Q17" s="27" t="s">
        <v>104</v>
      </c>
    </row>
    <row r="18" customFormat="false" ht="15" hidden="false" customHeight="true" outlineLevel="0" collapsed="false">
      <c r="A18" s="26" t="s">
        <v>179</v>
      </c>
      <c r="B18" s="27" t="s">
        <v>96</v>
      </c>
      <c r="C18" s="28" t="s">
        <v>180</v>
      </c>
      <c r="D18" s="28" t="s">
        <v>181</v>
      </c>
      <c r="E18" s="28" t="s">
        <v>182</v>
      </c>
      <c r="F18" s="27" t="n">
        <v>2</v>
      </c>
      <c r="G18" s="27" t="n">
        <v>2</v>
      </c>
      <c r="H18" s="29" t="n">
        <f aca="false">IF(OR(F18="",G18=""),"",F18*G18)</f>
        <v>4</v>
      </c>
      <c r="I18" s="30" t="str">
        <f aca="false">IF(H18="","",IF(H18&gt;=6,"Alto",IF(H18&gt;=3,"Medio","Bajo")))</f>
        <v>Medio</v>
      </c>
      <c r="J18" s="28" t="s">
        <v>74</v>
      </c>
      <c r="K18" s="28" t="s">
        <v>183</v>
      </c>
      <c r="L18" s="27" t="n">
        <v>14</v>
      </c>
      <c r="M18" s="28" t="s">
        <v>184</v>
      </c>
      <c r="N18" s="30" t="str">
        <f aca="false">IF(I18="","",IF(I18="Alto","Alta",IF(I18="Medio","Media","Baja")))</f>
        <v>Media</v>
      </c>
      <c r="O18" s="28" t="s">
        <v>185</v>
      </c>
      <c r="P18" s="27" t="s">
        <v>142</v>
      </c>
      <c r="Q18" s="27" t="s">
        <v>104</v>
      </c>
    </row>
    <row r="19" customFormat="false" ht="15" hidden="false" customHeight="true" outlineLevel="0" collapsed="false">
      <c r="A19" s="26" t="s">
        <v>186</v>
      </c>
      <c r="B19" s="27" t="s">
        <v>187</v>
      </c>
      <c r="C19" s="28" t="s">
        <v>188</v>
      </c>
      <c r="D19" s="28" t="s">
        <v>189</v>
      </c>
      <c r="E19" s="28" t="s">
        <v>190</v>
      </c>
      <c r="F19" s="27" t="n">
        <v>3</v>
      </c>
      <c r="G19" s="27" t="n">
        <v>2</v>
      </c>
      <c r="H19" s="29" t="n">
        <f aca="false">IF(OR(F19="",G19=""),"",F19*G19)</f>
        <v>6</v>
      </c>
      <c r="I19" s="30" t="str">
        <f aca="false">IF(H19="","",IF(H19&gt;=6,"Alto",IF(H19&gt;=3,"Medio","Bajo")))</f>
        <v>Alto</v>
      </c>
      <c r="J19" s="28" t="s">
        <v>76</v>
      </c>
      <c r="K19" s="28" t="s">
        <v>191</v>
      </c>
      <c r="L19" s="27" t="s">
        <v>192</v>
      </c>
      <c r="M19" s="28" t="s">
        <v>192</v>
      </c>
      <c r="N19" s="30" t="str">
        <f aca="false">IF(I19="","",IF(I19="Alto","Alta",IF(I19="Medio","Media","Baja")))</f>
        <v>Alta</v>
      </c>
      <c r="O19" s="28" t="s">
        <v>193</v>
      </c>
      <c r="P19" s="27" t="s">
        <v>194</v>
      </c>
      <c r="Q19" s="27" t="s">
        <v>104</v>
      </c>
    </row>
    <row r="20" customFormat="false" ht="15" hidden="false" customHeight="true" outlineLevel="0" collapsed="false">
      <c r="A20" s="26" t="s">
        <v>195</v>
      </c>
      <c r="B20" s="27" t="s">
        <v>187</v>
      </c>
      <c r="C20" s="28" t="s">
        <v>196</v>
      </c>
      <c r="D20" s="28" t="s">
        <v>197</v>
      </c>
      <c r="E20" s="28" t="s">
        <v>198</v>
      </c>
      <c r="F20" s="27" t="n">
        <v>3</v>
      </c>
      <c r="G20" s="27" t="n">
        <v>2</v>
      </c>
      <c r="H20" s="29" t="n">
        <f aca="false">IF(OR(F20="",G20=""),"",F20*G20)</f>
        <v>6</v>
      </c>
      <c r="I20" s="30" t="str">
        <f aca="false">IF(H20="","",IF(H20&gt;=6,"Alto",IF(H20&gt;=3,"Medio","Bajo")))</f>
        <v>Alto</v>
      </c>
      <c r="J20" s="28" t="s">
        <v>76</v>
      </c>
      <c r="K20" s="28" t="s">
        <v>199</v>
      </c>
      <c r="L20" s="27" t="s">
        <v>192</v>
      </c>
      <c r="M20" s="28" t="s">
        <v>200</v>
      </c>
      <c r="N20" s="30" t="str">
        <f aca="false">IF(I20="","",IF(I20="Alto","Alta",IF(I20="Medio","Media","Baja")))</f>
        <v>Alta</v>
      </c>
      <c r="O20" s="28" t="s">
        <v>185</v>
      </c>
      <c r="P20" s="27" t="s">
        <v>142</v>
      </c>
      <c r="Q20" s="27" t="s">
        <v>104</v>
      </c>
    </row>
    <row r="21" customFormat="false" ht="15" hidden="false" customHeight="true" outlineLevel="0" collapsed="false">
      <c r="A21" s="26" t="s">
        <v>201</v>
      </c>
      <c r="B21" s="27" t="s">
        <v>187</v>
      </c>
      <c r="C21" s="28" t="s">
        <v>202</v>
      </c>
      <c r="D21" s="28" t="s">
        <v>192</v>
      </c>
      <c r="E21" s="28" t="s">
        <v>203</v>
      </c>
      <c r="F21" s="27" t="n">
        <v>2</v>
      </c>
      <c r="G21" s="27" t="n">
        <v>2</v>
      </c>
      <c r="H21" s="29" t="n">
        <f aca="false">IF(OR(F21="",G21=""),"",F21*G21)</f>
        <v>4</v>
      </c>
      <c r="I21" s="30" t="str">
        <f aca="false">IF(H21="","",IF(H21&gt;=6,"Alto",IF(H21&gt;=3,"Medio","Bajo")))</f>
        <v>Medio</v>
      </c>
      <c r="J21" s="28" t="s">
        <v>76</v>
      </c>
      <c r="K21" s="28" t="s">
        <v>204</v>
      </c>
      <c r="L21" s="27" t="s">
        <v>192</v>
      </c>
      <c r="M21" s="28" t="s">
        <v>192</v>
      </c>
      <c r="N21" s="30" t="str">
        <f aca="false">IF(I21="","",IF(I21="Alto","Alta",IF(I21="Medio","Media","Baja")))</f>
        <v>Media</v>
      </c>
      <c r="O21" s="28" t="s">
        <v>193</v>
      </c>
      <c r="P21" s="27" t="s">
        <v>142</v>
      </c>
      <c r="Q21" s="27" t="s">
        <v>104</v>
      </c>
    </row>
    <row r="22" customFormat="false" ht="15" hidden="false" customHeight="true" outlineLevel="0" collapsed="false">
      <c r="A22" s="26" t="s">
        <v>205</v>
      </c>
      <c r="B22" s="27" t="s">
        <v>187</v>
      </c>
      <c r="C22" s="28" t="s">
        <v>206</v>
      </c>
      <c r="D22" s="28" t="s">
        <v>192</v>
      </c>
      <c r="E22" s="28" t="s">
        <v>207</v>
      </c>
      <c r="F22" s="27" t="n">
        <v>2</v>
      </c>
      <c r="G22" s="27" t="n">
        <v>2</v>
      </c>
      <c r="H22" s="29" t="n">
        <f aca="false">IF(OR(F22="",G22=""),"",F22*G22)</f>
        <v>4</v>
      </c>
      <c r="I22" s="30" t="str">
        <f aca="false">IF(H22="","",IF(H22&gt;=6,"Alto",IF(H22&gt;=3,"Medio","Bajo")))</f>
        <v>Medio</v>
      </c>
      <c r="J22" s="28" t="s">
        <v>76</v>
      </c>
      <c r="K22" s="28" t="s">
        <v>208</v>
      </c>
      <c r="L22" s="27" t="s">
        <v>192</v>
      </c>
      <c r="M22" s="28" t="s">
        <v>192</v>
      </c>
      <c r="N22" s="30" t="str">
        <f aca="false">IF(I22="","",IF(I22="Alto","Alta",IF(I22="Medio","Media","Baja")))</f>
        <v>Media</v>
      </c>
      <c r="O22" s="28" t="s">
        <v>185</v>
      </c>
      <c r="P22" s="27" t="s">
        <v>142</v>
      </c>
      <c r="Q22" s="27" t="s">
        <v>104</v>
      </c>
    </row>
    <row r="23" customFormat="false" ht="15" hidden="false" customHeight="true" outlineLevel="0" collapsed="false">
      <c r="A23" s="26" t="s">
        <v>209</v>
      </c>
      <c r="B23" s="27"/>
      <c r="C23" s="28"/>
      <c r="D23" s="28"/>
      <c r="E23" s="28"/>
      <c r="F23" s="27"/>
      <c r="G23" s="27"/>
      <c r="H23" s="29" t="str">
        <f aca="false">IF(OR(F23="",G23=""),"",F23*G23)</f>
        <v/>
      </c>
      <c r="I23" s="30" t="str">
        <f aca="false">IF(H23="","",IF(H23&gt;=6,"Alto",IF(H23&gt;=3,"Medio","Bajo")))</f>
        <v/>
      </c>
      <c r="J23" s="28"/>
      <c r="K23" s="28"/>
      <c r="L23" s="27"/>
      <c r="M23" s="28"/>
      <c r="N23" s="30" t="str">
        <f aca="false">IF(I23="","",IF(I23="Alto","Alta",IF(I23="Medio","Media","Baja")))</f>
        <v/>
      </c>
      <c r="O23" s="28"/>
      <c r="P23" s="27"/>
      <c r="Q23" s="27"/>
    </row>
    <row r="24" customFormat="false" ht="15" hidden="false" customHeight="true" outlineLevel="0" collapsed="false">
      <c r="A24" s="26" t="s">
        <v>210</v>
      </c>
      <c r="B24" s="27"/>
      <c r="C24" s="28"/>
      <c r="D24" s="28"/>
      <c r="E24" s="28"/>
      <c r="F24" s="27"/>
      <c r="G24" s="27"/>
      <c r="H24" s="29" t="str">
        <f aca="false">IF(OR(F24="",G24=""),"",F24*G24)</f>
        <v/>
      </c>
      <c r="I24" s="30" t="str">
        <f aca="false">IF(H24="","",IF(H24&gt;=6,"Alto",IF(H24&gt;=3,"Medio","Bajo")))</f>
        <v/>
      </c>
      <c r="J24" s="28"/>
      <c r="K24" s="28"/>
      <c r="L24" s="27"/>
      <c r="M24" s="28"/>
      <c r="N24" s="30" t="str">
        <f aca="false">IF(I24="","",IF(I24="Alto","Alta",IF(I24="Medio","Media","Baja")))</f>
        <v/>
      </c>
      <c r="O24" s="28"/>
      <c r="P24" s="27"/>
      <c r="Q24" s="27"/>
    </row>
    <row r="25" customFormat="false" ht="15" hidden="false" customHeight="true" outlineLevel="0" collapsed="false">
      <c r="A25" s="26" t="s">
        <v>211</v>
      </c>
      <c r="B25" s="27"/>
      <c r="C25" s="28"/>
      <c r="D25" s="28"/>
      <c r="E25" s="28"/>
      <c r="F25" s="27"/>
      <c r="G25" s="27"/>
      <c r="H25" s="29" t="str">
        <f aca="false">IF(OR(F25="",G25=""),"",F25*G25)</f>
        <v/>
      </c>
      <c r="I25" s="30" t="str">
        <f aca="false">IF(H25="","",IF(H25&gt;=6,"Alto",IF(H25&gt;=3,"Medio","Bajo")))</f>
        <v/>
      </c>
      <c r="J25" s="28"/>
      <c r="K25" s="28"/>
      <c r="L25" s="27"/>
      <c r="M25" s="28"/>
      <c r="N25" s="30" t="str">
        <f aca="false">IF(I25="","",IF(I25="Alto","Alta",IF(I25="Medio","Media","Baja")))</f>
        <v/>
      </c>
      <c r="O25" s="28"/>
      <c r="P25" s="27"/>
      <c r="Q25" s="27"/>
    </row>
    <row r="26" customFormat="false" ht="15" hidden="false" customHeight="true" outlineLevel="0" collapsed="false">
      <c r="A26" s="26" t="s">
        <v>212</v>
      </c>
      <c r="B26" s="27"/>
      <c r="C26" s="28"/>
      <c r="D26" s="28"/>
      <c r="E26" s="28"/>
      <c r="F26" s="27"/>
      <c r="G26" s="27"/>
      <c r="H26" s="29" t="str">
        <f aca="false">IF(OR(F26="",G26=""),"",F26*G26)</f>
        <v/>
      </c>
      <c r="I26" s="30" t="str">
        <f aca="false">IF(H26="","",IF(H26&gt;=6,"Alto",IF(H26&gt;=3,"Medio","Bajo")))</f>
        <v/>
      </c>
      <c r="J26" s="28"/>
      <c r="K26" s="28"/>
      <c r="L26" s="27"/>
      <c r="M26" s="28"/>
      <c r="N26" s="30" t="str">
        <f aca="false">IF(I26="","",IF(I26="Alto","Alta",IF(I26="Medio","Media","Baja")))</f>
        <v/>
      </c>
      <c r="O26" s="28"/>
      <c r="P26" s="27"/>
      <c r="Q26" s="27"/>
    </row>
    <row r="27" customFormat="false" ht="15" hidden="false" customHeight="true" outlineLevel="0" collapsed="false">
      <c r="A27" s="26" t="s">
        <v>213</v>
      </c>
      <c r="B27" s="27"/>
      <c r="C27" s="28"/>
      <c r="D27" s="28"/>
      <c r="E27" s="28"/>
      <c r="F27" s="27"/>
      <c r="G27" s="27"/>
      <c r="H27" s="29" t="str">
        <f aca="false">IF(OR(F27="",G27=""),"",F27*G27)</f>
        <v/>
      </c>
      <c r="I27" s="30" t="str">
        <f aca="false">IF(H27="","",IF(H27&gt;=6,"Alto",IF(H27&gt;=3,"Medio","Bajo")))</f>
        <v/>
      </c>
      <c r="J27" s="28"/>
      <c r="K27" s="28"/>
      <c r="L27" s="27"/>
      <c r="M27" s="28"/>
      <c r="N27" s="30" t="str">
        <f aca="false">IF(I27="","",IF(I27="Alto","Alta",IF(I27="Medio","Media","Baja")))</f>
        <v/>
      </c>
      <c r="O27" s="28"/>
      <c r="P27" s="27"/>
      <c r="Q27" s="27"/>
    </row>
    <row r="28" customFormat="false" ht="15" hidden="false" customHeight="true" outlineLevel="0" collapsed="false">
      <c r="A28" s="26" t="s">
        <v>214</v>
      </c>
      <c r="B28" s="27"/>
      <c r="C28" s="28"/>
      <c r="D28" s="28"/>
      <c r="E28" s="28"/>
      <c r="F28" s="27"/>
      <c r="G28" s="27"/>
      <c r="H28" s="29" t="str">
        <f aca="false">IF(OR(F28="",G28=""),"",F28*G28)</f>
        <v/>
      </c>
      <c r="I28" s="30" t="str">
        <f aca="false">IF(H28="","",IF(H28&gt;=6,"Alto",IF(H28&gt;=3,"Medio","Bajo")))</f>
        <v/>
      </c>
      <c r="J28" s="28"/>
      <c r="K28" s="28"/>
      <c r="L28" s="27"/>
      <c r="M28" s="28"/>
      <c r="N28" s="30" t="str">
        <f aca="false">IF(I28="","",IF(I28="Alto","Alta",IF(I28="Medio","Media","Baja")))</f>
        <v/>
      </c>
      <c r="O28" s="28"/>
      <c r="P28" s="27"/>
      <c r="Q28" s="27"/>
    </row>
    <row r="29" customFormat="false" ht="15" hidden="false" customHeight="true" outlineLevel="0" collapsed="false">
      <c r="A29" s="26" t="s">
        <v>215</v>
      </c>
      <c r="B29" s="27"/>
      <c r="C29" s="28"/>
      <c r="D29" s="28"/>
      <c r="E29" s="28"/>
      <c r="F29" s="27"/>
      <c r="G29" s="27"/>
      <c r="H29" s="29" t="str">
        <f aca="false">IF(OR(F29="",G29=""),"",F29*G29)</f>
        <v/>
      </c>
      <c r="I29" s="30" t="str">
        <f aca="false">IF(H29="","",IF(H29&gt;=6,"Alto",IF(H29&gt;=3,"Medio","Bajo")))</f>
        <v/>
      </c>
      <c r="J29" s="28"/>
      <c r="K29" s="28"/>
      <c r="L29" s="27"/>
      <c r="M29" s="28"/>
      <c r="N29" s="30" t="str">
        <f aca="false">IF(I29="","",IF(I29="Alto","Alta",IF(I29="Medio","Media","Baja")))</f>
        <v/>
      </c>
      <c r="O29" s="28"/>
      <c r="P29" s="27"/>
      <c r="Q29" s="27"/>
    </row>
    <row r="30" customFormat="false" ht="15" hidden="false" customHeight="true" outlineLevel="0" collapsed="false">
      <c r="A30" s="26" t="s">
        <v>216</v>
      </c>
      <c r="B30" s="27"/>
      <c r="C30" s="28"/>
      <c r="D30" s="28"/>
      <c r="E30" s="28"/>
      <c r="F30" s="27"/>
      <c r="G30" s="27"/>
      <c r="H30" s="29" t="str">
        <f aca="false">IF(OR(F30="",G30=""),"",F30*G30)</f>
        <v/>
      </c>
      <c r="I30" s="30" t="str">
        <f aca="false">IF(H30="","",IF(H30&gt;=6,"Alto",IF(H30&gt;=3,"Medio","Bajo")))</f>
        <v/>
      </c>
      <c r="J30" s="28"/>
      <c r="K30" s="28"/>
      <c r="L30" s="27"/>
      <c r="M30" s="28"/>
      <c r="N30" s="30" t="str">
        <f aca="false">IF(I30="","",IF(I30="Alto","Alta",IF(I30="Medio","Media","Baja")))</f>
        <v/>
      </c>
      <c r="O30" s="28"/>
      <c r="P30" s="27"/>
      <c r="Q30" s="27"/>
    </row>
    <row r="31" customFormat="false" ht="15" hidden="false" customHeight="true" outlineLevel="0" collapsed="false">
      <c r="A31" s="26" t="s">
        <v>217</v>
      </c>
      <c r="B31" s="27"/>
      <c r="C31" s="28"/>
      <c r="D31" s="28"/>
      <c r="E31" s="28"/>
      <c r="F31" s="27"/>
      <c r="G31" s="27"/>
      <c r="H31" s="29" t="str">
        <f aca="false">IF(OR(F31="",G31=""),"",F31*G31)</f>
        <v/>
      </c>
      <c r="I31" s="30" t="str">
        <f aca="false">IF(H31="","",IF(H31&gt;=6,"Alto",IF(H31&gt;=3,"Medio","Bajo")))</f>
        <v/>
      </c>
      <c r="J31" s="28"/>
      <c r="K31" s="28"/>
      <c r="L31" s="27"/>
      <c r="M31" s="28"/>
      <c r="N31" s="30" t="str">
        <f aca="false">IF(I31="","",IF(I31="Alto","Alta",IF(I31="Medio","Media","Baja")))</f>
        <v/>
      </c>
      <c r="O31" s="28"/>
      <c r="P31" s="27"/>
      <c r="Q31" s="27"/>
    </row>
    <row r="32" customFormat="false" ht="15" hidden="false" customHeight="true" outlineLevel="0" collapsed="false">
      <c r="A32" s="26" t="s">
        <v>218</v>
      </c>
      <c r="B32" s="27"/>
      <c r="C32" s="28"/>
      <c r="D32" s="28"/>
      <c r="E32" s="28"/>
      <c r="F32" s="27"/>
      <c r="G32" s="27"/>
      <c r="H32" s="29" t="str">
        <f aca="false">IF(OR(F32="",G32=""),"",F32*G32)</f>
        <v/>
      </c>
      <c r="I32" s="30" t="str">
        <f aca="false">IF(H32="","",IF(H32&gt;=6,"Alto",IF(H32&gt;=3,"Medio","Bajo")))</f>
        <v/>
      </c>
      <c r="J32" s="28"/>
      <c r="K32" s="28"/>
      <c r="L32" s="27"/>
      <c r="M32" s="28"/>
      <c r="N32" s="30" t="str">
        <f aca="false">IF(I32="","",IF(I32="Alto","Alta",IF(I32="Medio","Media","Baja")))</f>
        <v/>
      </c>
      <c r="O32" s="28"/>
      <c r="P32" s="27"/>
      <c r="Q32" s="27"/>
    </row>
    <row r="33" customFormat="false" ht="15" hidden="false" customHeight="true" outlineLevel="0" collapsed="false">
      <c r="A33" s="26" t="s">
        <v>219</v>
      </c>
      <c r="B33" s="27"/>
      <c r="C33" s="28"/>
      <c r="D33" s="28"/>
      <c r="E33" s="28"/>
      <c r="F33" s="27"/>
      <c r="G33" s="27"/>
      <c r="H33" s="29" t="str">
        <f aca="false">IF(OR(F33="",G33=""),"",F33*G33)</f>
        <v/>
      </c>
      <c r="I33" s="30" t="str">
        <f aca="false">IF(H33="","",IF(H33&gt;=6,"Alto",IF(H33&gt;=3,"Medio","Bajo")))</f>
        <v/>
      </c>
      <c r="J33" s="28"/>
      <c r="K33" s="28"/>
      <c r="L33" s="27"/>
      <c r="M33" s="28"/>
      <c r="N33" s="30" t="str">
        <f aca="false">IF(I33="","",IF(I33="Alto","Alta",IF(I33="Medio","Media","Baja")))</f>
        <v/>
      </c>
      <c r="O33" s="28"/>
      <c r="P33" s="27"/>
      <c r="Q33" s="27"/>
    </row>
    <row r="34" customFormat="false" ht="15" hidden="false" customHeight="true" outlineLevel="0" collapsed="false">
      <c r="A34" s="26" t="s">
        <v>220</v>
      </c>
      <c r="B34" s="27"/>
      <c r="C34" s="28"/>
      <c r="D34" s="28"/>
      <c r="E34" s="28"/>
      <c r="F34" s="27"/>
      <c r="G34" s="27"/>
      <c r="H34" s="29" t="str">
        <f aca="false">IF(OR(F34="",G34=""),"",F34*G34)</f>
        <v/>
      </c>
      <c r="I34" s="30" t="str">
        <f aca="false">IF(H34="","",IF(H34&gt;=6,"Alto",IF(H34&gt;=3,"Medio","Bajo")))</f>
        <v/>
      </c>
      <c r="J34" s="28"/>
      <c r="K34" s="28"/>
      <c r="L34" s="27"/>
      <c r="M34" s="28"/>
      <c r="N34" s="30" t="str">
        <f aca="false">IF(I34="","",IF(I34="Alto","Alta",IF(I34="Medio","Media","Baja")))</f>
        <v/>
      </c>
      <c r="O34" s="28"/>
      <c r="P34" s="27"/>
      <c r="Q34" s="27"/>
    </row>
    <row r="35" customFormat="false" ht="15" hidden="false" customHeight="true" outlineLevel="0" collapsed="false">
      <c r="A35" s="26" t="s">
        <v>221</v>
      </c>
      <c r="B35" s="27"/>
      <c r="C35" s="28"/>
      <c r="D35" s="28"/>
      <c r="E35" s="28"/>
      <c r="F35" s="27"/>
      <c r="G35" s="27"/>
      <c r="H35" s="29" t="str">
        <f aca="false">IF(OR(F35="",G35=""),"",F35*G35)</f>
        <v/>
      </c>
      <c r="I35" s="30" t="str">
        <f aca="false">IF(H35="","",IF(H35&gt;=6,"Alto",IF(H35&gt;=3,"Medio","Bajo")))</f>
        <v/>
      </c>
      <c r="J35" s="28"/>
      <c r="K35" s="28"/>
      <c r="L35" s="27"/>
      <c r="M35" s="28"/>
      <c r="N35" s="30" t="str">
        <f aca="false">IF(I35="","",IF(I35="Alto","Alta",IF(I35="Medio","Media","Baja")))</f>
        <v/>
      </c>
      <c r="O35" s="28"/>
      <c r="P35" s="27"/>
      <c r="Q35" s="27"/>
    </row>
    <row r="36" customFormat="false" ht="15" hidden="false" customHeight="true" outlineLevel="0" collapsed="false">
      <c r="A36" s="26" t="s">
        <v>222</v>
      </c>
      <c r="B36" s="27"/>
      <c r="C36" s="28"/>
      <c r="D36" s="28"/>
      <c r="E36" s="28"/>
      <c r="F36" s="27"/>
      <c r="G36" s="27"/>
      <c r="H36" s="29" t="str">
        <f aca="false">IF(OR(F36="",G36=""),"",F36*G36)</f>
        <v/>
      </c>
      <c r="I36" s="30" t="str">
        <f aca="false">IF(H36="","",IF(H36&gt;=6,"Alto",IF(H36&gt;=3,"Medio","Bajo")))</f>
        <v/>
      </c>
      <c r="J36" s="28"/>
      <c r="K36" s="28"/>
      <c r="L36" s="27"/>
      <c r="M36" s="28"/>
      <c r="N36" s="30" t="str">
        <f aca="false">IF(I36="","",IF(I36="Alto","Alta",IF(I36="Medio","Media","Baja")))</f>
        <v/>
      </c>
      <c r="O36" s="28"/>
      <c r="P36" s="27"/>
      <c r="Q36" s="27"/>
    </row>
    <row r="37" customFormat="false" ht="15" hidden="false" customHeight="true" outlineLevel="0" collapsed="false">
      <c r="A37" s="26" t="s">
        <v>223</v>
      </c>
      <c r="B37" s="27"/>
      <c r="C37" s="28"/>
      <c r="D37" s="28"/>
      <c r="E37" s="28"/>
      <c r="F37" s="27"/>
      <c r="G37" s="27"/>
      <c r="H37" s="29" t="str">
        <f aca="false">IF(OR(F37="",G37=""),"",F37*G37)</f>
        <v/>
      </c>
      <c r="I37" s="30" t="str">
        <f aca="false">IF(H37="","",IF(H37&gt;=6,"Alto",IF(H37&gt;=3,"Medio","Bajo")))</f>
        <v/>
      </c>
      <c r="J37" s="28"/>
      <c r="K37" s="28"/>
      <c r="L37" s="27"/>
      <c r="M37" s="28"/>
      <c r="N37" s="30" t="str">
        <f aca="false">IF(I37="","",IF(I37="Alto","Alta",IF(I37="Medio","Media","Baja")))</f>
        <v/>
      </c>
      <c r="O37" s="28"/>
      <c r="P37" s="27"/>
      <c r="Q37" s="27"/>
    </row>
    <row r="38" customFormat="false" ht="15" hidden="false" customHeight="true" outlineLevel="0" collapsed="false">
      <c r="A38" s="26" t="s">
        <v>224</v>
      </c>
      <c r="B38" s="27"/>
      <c r="C38" s="28"/>
      <c r="D38" s="28"/>
      <c r="E38" s="28"/>
      <c r="F38" s="27"/>
      <c r="G38" s="27"/>
      <c r="H38" s="29" t="str">
        <f aca="false">IF(OR(F38="",G38=""),"",F38*G38)</f>
        <v/>
      </c>
      <c r="I38" s="30" t="str">
        <f aca="false">IF(H38="","",IF(H38&gt;=6,"Alto",IF(H38&gt;=3,"Medio","Bajo")))</f>
        <v/>
      </c>
      <c r="J38" s="28"/>
      <c r="K38" s="28"/>
      <c r="L38" s="27"/>
      <c r="M38" s="28"/>
      <c r="N38" s="30" t="str">
        <f aca="false">IF(I38="","",IF(I38="Alto","Alta",IF(I38="Medio","Media","Baja")))</f>
        <v/>
      </c>
      <c r="O38" s="28"/>
      <c r="P38" s="27"/>
      <c r="Q38" s="27"/>
    </row>
    <row r="39" customFormat="false" ht="15" hidden="false" customHeight="true" outlineLevel="0" collapsed="false">
      <c r="A39" s="26" t="s">
        <v>225</v>
      </c>
      <c r="B39" s="27"/>
      <c r="C39" s="28"/>
      <c r="D39" s="28"/>
      <c r="E39" s="28"/>
      <c r="F39" s="27"/>
      <c r="G39" s="27"/>
      <c r="H39" s="29" t="str">
        <f aca="false">IF(OR(F39="",G39=""),"",F39*G39)</f>
        <v/>
      </c>
      <c r="I39" s="30" t="str">
        <f aca="false">IF(H39="","",IF(H39&gt;=6,"Alto",IF(H39&gt;=3,"Medio","Bajo")))</f>
        <v/>
      </c>
      <c r="J39" s="28"/>
      <c r="K39" s="28"/>
      <c r="L39" s="27"/>
      <c r="M39" s="28"/>
      <c r="N39" s="30" t="str">
        <f aca="false">IF(I39="","",IF(I39="Alto","Alta",IF(I39="Medio","Media","Baja")))</f>
        <v/>
      </c>
      <c r="O39" s="28"/>
      <c r="P39" s="27"/>
      <c r="Q39" s="27"/>
    </row>
    <row r="40" customFormat="false" ht="15" hidden="false" customHeight="true" outlineLevel="0" collapsed="false">
      <c r="A40" s="26" t="s">
        <v>226</v>
      </c>
      <c r="B40" s="27"/>
      <c r="C40" s="28"/>
      <c r="D40" s="28"/>
      <c r="E40" s="28"/>
      <c r="F40" s="27"/>
      <c r="G40" s="27"/>
      <c r="H40" s="29" t="str">
        <f aca="false">IF(OR(F40="",G40=""),"",F40*G40)</f>
        <v/>
      </c>
      <c r="I40" s="30" t="str">
        <f aca="false">IF(H40="","",IF(H40&gt;=6,"Alto",IF(H40&gt;=3,"Medio","Bajo")))</f>
        <v/>
      </c>
      <c r="J40" s="28"/>
      <c r="K40" s="28"/>
      <c r="L40" s="27"/>
      <c r="M40" s="28"/>
      <c r="N40" s="30" t="str">
        <f aca="false">IF(I40="","",IF(I40="Alto","Alta",IF(I40="Medio","Media","Baja")))</f>
        <v/>
      </c>
      <c r="O40" s="28"/>
      <c r="P40" s="27"/>
      <c r="Q40" s="27"/>
    </row>
    <row r="41" customFormat="false" ht="15" hidden="false" customHeight="true" outlineLevel="0" collapsed="false">
      <c r="A41" s="26" t="s">
        <v>227</v>
      </c>
      <c r="B41" s="27"/>
      <c r="C41" s="28"/>
      <c r="D41" s="28"/>
      <c r="E41" s="28"/>
      <c r="F41" s="27"/>
      <c r="G41" s="27"/>
      <c r="H41" s="29" t="str">
        <f aca="false">IF(OR(F41="",G41=""),"",F41*G41)</f>
        <v/>
      </c>
      <c r="I41" s="30" t="str">
        <f aca="false">IF(H41="","",IF(H41&gt;=6,"Alto",IF(H41&gt;=3,"Medio","Bajo")))</f>
        <v/>
      </c>
      <c r="J41" s="28"/>
      <c r="K41" s="28"/>
      <c r="L41" s="27"/>
      <c r="M41" s="28"/>
      <c r="N41" s="30" t="str">
        <f aca="false">IF(I41="","",IF(I41="Alto","Alta",IF(I41="Medio","Media","Baja")))</f>
        <v/>
      </c>
      <c r="O41" s="28"/>
      <c r="P41" s="27"/>
      <c r="Q41" s="27"/>
    </row>
    <row r="42" customFormat="false" ht="15" hidden="false" customHeight="true" outlineLevel="0" collapsed="false">
      <c r="A42" s="26" t="s">
        <v>228</v>
      </c>
      <c r="B42" s="27"/>
      <c r="C42" s="28"/>
      <c r="D42" s="28"/>
      <c r="E42" s="28"/>
      <c r="F42" s="27"/>
      <c r="G42" s="27"/>
      <c r="H42" s="29" t="str">
        <f aca="false">IF(OR(F42="",G42=""),"",F42*G42)</f>
        <v/>
      </c>
      <c r="I42" s="30" t="str">
        <f aca="false">IF(H42="","",IF(H42&gt;=6,"Alto",IF(H42&gt;=3,"Medio","Bajo")))</f>
        <v/>
      </c>
      <c r="J42" s="28"/>
      <c r="K42" s="28"/>
      <c r="L42" s="27"/>
      <c r="M42" s="28"/>
      <c r="N42" s="30" t="str">
        <f aca="false">IF(I42="","",IF(I42="Alto","Alta",IF(I42="Medio","Media","Baja")))</f>
        <v/>
      </c>
      <c r="O42" s="28"/>
      <c r="P42" s="27"/>
      <c r="Q42" s="27"/>
    </row>
    <row r="43" customFormat="false" ht="15" hidden="false" customHeight="true" outlineLevel="0" collapsed="false">
      <c r="A43" s="26" t="s">
        <v>229</v>
      </c>
      <c r="B43" s="27"/>
      <c r="C43" s="28"/>
      <c r="D43" s="28"/>
      <c r="E43" s="28"/>
      <c r="F43" s="27"/>
      <c r="G43" s="27"/>
      <c r="H43" s="29" t="str">
        <f aca="false">IF(OR(F43="",G43=""),"",F43*G43)</f>
        <v/>
      </c>
      <c r="I43" s="30" t="str">
        <f aca="false">IF(H43="","",IF(H43&gt;=6,"Alto",IF(H43&gt;=3,"Medio","Bajo")))</f>
        <v/>
      </c>
      <c r="J43" s="28"/>
      <c r="K43" s="28"/>
      <c r="L43" s="27"/>
      <c r="M43" s="28"/>
      <c r="N43" s="30" t="str">
        <f aca="false">IF(I43="","",IF(I43="Alto","Alta",IF(I43="Medio","Media","Baja")))</f>
        <v/>
      </c>
      <c r="O43" s="28"/>
      <c r="P43" s="27"/>
      <c r="Q43" s="27"/>
    </row>
    <row r="44" customFormat="false" ht="15" hidden="false" customHeight="true" outlineLevel="0" collapsed="false">
      <c r="A44" s="26" t="s">
        <v>230</v>
      </c>
      <c r="B44" s="27"/>
      <c r="C44" s="28"/>
      <c r="D44" s="28"/>
      <c r="E44" s="28"/>
      <c r="F44" s="27"/>
      <c r="G44" s="27"/>
      <c r="H44" s="29" t="str">
        <f aca="false">IF(OR(F44="",G44=""),"",F44*G44)</f>
        <v/>
      </c>
      <c r="I44" s="30" t="str">
        <f aca="false">IF(H44="","",IF(H44&gt;=6,"Alto",IF(H44&gt;=3,"Medio","Bajo")))</f>
        <v/>
      </c>
      <c r="J44" s="28"/>
      <c r="K44" s="28"/>
      <c r="L44" s="27"/>
      <c r="M44" s="28"/>
      <c r="N44" s="30" t="str">
        <f aca="false">IF(I44="","",IF(I44="Alto","Alta",IF(I44="Medio","Media","Baja")))</f>
        <v/>
      </c>
      <c r="O44" s="28"/>
      <c r="P44" s="27"/>
      <c r="Q44" s="27"/>
    </row>
  </sheetData>
  <autoFilter ref="A4:Q44"/>
  <conditionalFormatting sqref="H5:H44">
    <cfRule type="expression" priority="2" aboveAverage="0" equalAverage="0" bottom="0" percent="0" rank="0" text="" dxfId="8">
      <formula>$I5="Alto"</formula>
    </cfRule>
    <cfRule type="expression" priority="3" aboveAverage="0" equalAverage="0" bottom="0" percent="0" rank="0" text="" dxfId="9">
      <formula>$I5="Medio"</formula>
    </cfRule>
    <cfRule type="expression" priority="4" aboveAverage="0" equalAverage="0" bottom="0" percent="0" rank="0" text="" dxfId="10">
      <formula>$I5="Bajo"</formula>
    </cfRule>
  </conditionalFormatting>
  <conditionalFormatting sqref="I5:I44">
    <cfRule type="expression" priority="5" aboveAverage="0" equalAverage="0" bottom="0" percent="0" rank="0" text="" dxfId="8">
      <formula>$I5="Alto"</formula>
    </cfRule>
    <cfRule type="expression" priority="6" aboveAverage="0" equalAverage="0" bottom="0" percent="0" rank="0" text="" dxfId="9">
      <formula>$I5="Medio"</formula>
    </cfRule>
    <cfRule type="expression" priority="7" aboveAverage="0" equalAverage="0" bottom="0" percent="0" rank="0" text="" dxfId="10">
      <formula>$I5="Bajo"</formula>
    </cfRule>
  </conditionalFormatting>
  <dataValidations count="5">
    <dataValidation allowBlank="true" error="Elijan Producto o Proyecto." errorStyle="stop" errorTitle="Tipo" operator="between" showDropDown="false" showErrorMessage="true" showInputMessage="false" sqref="B5:B44" type="list">
      <formula1>"Producto,Proyecto"</formula1>
      <formula2>0</formula2>
    </dataValidation>
    <dataValidation allowBlank="true" error="Usen un entero de 1 a 3." errorStyle="stop" errorTitle="Valor fuera de escala" operator="between" showDropDown="false" showErrorMessage="true" showInputMessage="false" sqref="F5:G44" type="whole">
      <formula1>1</formula1>
      <formula2>3</formula2>
    </dataValidation>
    <dataValidation allowBlank="true" error="Elijan una respuesta de la lista." errorStyle="stop" errorTitle="Respuesta" operator="between" showDropDown="false" showErrorMessage="true" showInputMessage="false" sqref="J5:J44" type="list">
      <formula1>"Mitigar con pruebas,Aceptar,Transferir,Plan de contingencia"</formula1>
      <formula2>0</formula2>
    </dataValidation>
    <dataValidation allowBlank="true" error="Elijan un estado de la lista." errorStyle="stop" errorTitle="Estado" operator="between" showDropDown="false" showErrorMessage="true" showInputMessage="false" sqref="P5:P44" type="list">
      <formula1>"Abierto,En mitigación,Mitigado,Materializado,Cerrado"</formula1>
      <formula2>0</formula2>
    </dataValidation>
    <dataValidation allowBlank="true" error="Elijan la entrega." errorStyle="stop" errorTitle="Revisión" operator="between" showDropDown="false" showErrorMessage="true" showInputMessage="false" sqref="Q5:Q44" type="list">
      <formula1>"Entrega 1,Entrega 2,Entrega 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3D59"/>
    <pageSetUpPr fitToPage="false"/>
  </sheetPr>
  <dimension ref="B2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6"/>
    <col collapsed="false" customWidth="true" hidden="false" outlineLevel="0" max="5" min="3" style="1" width="18"/>
    <col collapsed="false" customWidth="true" hidden="false" outlineLevel="0" max="6" min="6" style="1" width="3"/>
    <col collapsed="false" customWidth="true" hidden="false" outlineLevel="0" max="7" min="7" style="1" width="14"/>
    <col collapsed="false" customWidth="true" hidden="false" outlineLevel="0" max="8" min="8" style="1" width="40"/>
  </cols>
  <sheetData>
    <row r="2" customFormat="false" ht="21.75" hidden="false" customHeight="true" outlineLevel="0" collapsed="false">
      <c r="B2" s="16" t="s">
        <v>231</v>
      </c>
    </row>
    <row r="3" customFormat="false" ht="15" hidden="false" customHeight="true" outlineLevel="0" collapsed="false">
      <c r="B3" s="4" t="s">
        <v>232</v>
      </c>
    </row>
    <row r="5" customFormat="false" ht="15" hidden="false" customHeight="true" outlineLevel="0" collapsed="false">
      <c r="B5" s="31" t="s">
        <v>233</v>
      </c>
      <c r="C5" s="18" t="s">
        <v>234</v>
      </c>
      <c r="D5" s="18" t="s">
        <v>235</v>
      </c>
      <c r="E5" s="18" t="s">
        <v>236</v>
      </c>
    </row>
    <row r="6" customFormat="false" ht="48" hidden="false" customHeight="true" outlineLevel="0" collapsed="false">
      <c r="B6" s="18" t="s">
        <v>237</v>
      </c>
      <c r="C6" s="22" t="str">
        <f aca="false">"3 · Medio"&amp;CHAR(10)&amp;COUNTIFS('Registro de riesgos'!$F$5:$F$44,3,'Registro de riesgos'!$G$5:$G$44,1)&amp;" riesgo(s)"</f>
        <v>3 · Medio
0 riesgo(s)</v>
      </c>
      <c r="D6" s="21" t="str">
        <f aca="false">"6 · Alto"&amp;CHAR(10)&amp;COUNTIFS('Registro de riesgos'!$F$5:$F$44,3,'Registro de riesgos'!$G$5:$G$44,2)&amp;" riesgo(s)"</f>
        <v>6 · Alto
2 riesgo(s)</v>
      </c>
      <c r="E6" s="21" t="str">
        <f aca="false">"9 · Alto"&amp;CHAR(10)&amp;COUNTIFS('Registro de riesgos'!$F$5:$F$44,3,'Registro de riesgos'!$G$5:$G$44,3)&amp;" riesgo(s)"</f>
        <v>9 · Alto
1 riesgo(s)</v>
      </c>
      <c r="G6" s="21" t="s">
        <v>55</v>
      </c>
      <c r="H6" s="10" t="s">
        <v>238</v>
      </c>
    </row>
    <row r="7" customFormat="false" ht="48" hidden="false" customHeight="true" outlineLevel="0" collapsed="false">
      <c r="B7" s="18" t="s">
        <v>239</v>
      </c>
      <c r="C7" s="23" t="str">
        <f aca="false">"2 · Bajo"&amp;CHAR(10)&amp;COUNTIFS('Registro de riesgos'!$F$5:$F$44,2,'Registro de riesgos'!$G$5:$G$44,1)&amp;" riesgo(s)"</f>
        <v>2 · Bajo
0 riesgo(s)</v>
      </c>
      <c r="D7" s="22" t="str">
        <f aca="false">"4 · Medio"&amp;CHAR(10)&amp;COUNTIFS('Registro de riesgos'!$F$5:$F$44,2,'Registro de riesgos'!$G$5:$G$44,2)&amp;" riesgo(s)"</f>
        <v>4 · Medio
7 riesgo(s)</v>
      </c>
      <c r="E7" s="21" t="str">
        <f aca="false">"6 · Alto"&amp;CHAR(10)&amp;COUNTIFS('Registro de riesgos'!$F$5:$F$44,2,'Registro de riesgos'!$G$5:$G$44,3)&amp;" riesgo(s)"</f>
        <v>6 · Alto
6 riesgo(s)</v>
      </c>
      <c r="G7" s="22" t="s">
        <v>53</v>
      </c>
      <c r="H7" s="10" t="s">
        <v>240</v>
      </c>
    </row>
    <row r="8" customFormat="false" ht="48" hidden="false" customHeight="true" outlineLevel="0" collapsed="false">
      <c r="B8" s="18" t="s">
        <v>241</v>
      </c>
      <c r="C8" s="23" t="str">
        <f aca="false">"1 · Bajo"&amp;CHAR(10)&amp;COUNTIFS('Registro de riesgos'!$F$5:$F$44,1,'Registro de riesgos'!$G$5:$G$44,1)&amp;" riesgo(s)"</f>
        <v>1 · Bajo
0 riesgo(s)</v>
      </c>
      <c r="D8" s="23" t="str">
        <f aca="false">"2 · Bajo"&amp;CHAR(10)&amp;COUNTIFS('Registro de riesgos'!$F$5:$F$44,1,'Registro de riesgos'!$G$5:$G$44,2)&amp;" riesgo(s)"</f>
        <v>2 · Bajo
1 riesgo(s)</v>
      </c>
      <c r="E8" s="22" t="str">
        <f aca="false">"3 · Medio"&amp;CHAR(10)&amp;COUNTIFS('Registro de riesgos'!$F$5:$F$44,1,'Registro de riesgos'!$G$5:$G$44,3)&amp;" riesgo(s)"</f>
        <v>3 · Medio
1 riesgo(s)</v>
      </c>
      <c r="G8" s="23" t="s">
        <v>51</v>
      </c>
      <c r="H8" s="10" t="s">
        <v>242</v>
      </c>
    </row>
    <row r="10" customFormat="false" ht="15" hidden="false" customHeight="true" outlineLevel="0" collapsed="false">
      <c r="B10" s="1" t="s">
        <v>243</v>
      </c>
    </row>
    <row r="12" customFormat="false" ht="15" hidden="false" customHeight="true" outlineLevel="0" collapsed="false">
      <c r="B12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3D59"/>
    <pageSetUpPr fitToPage="false"/>
  </sheetPr>
  <dimension ref="B2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2"/>
    <col collapsed="false" customWidth="true" hidden="false" outlineLevel="0" max="5" min="3" style="1" width="16"/>
  </cols>
  <sheetData>
    <row r="2" customFormat="false" ht="21.75" hidden="false" customHeight="true" outlineLevel="0" collapsed="false">
      <c r="B2" s="16" t="s">
        <v>244</v>
      </c>
    </row>
    <row r="4" customFormat="false" ht="15" hidden="false" customHeight="true" outlineLevel="0" collapsed="false">
      <c r="B4" s="18" t="s">
        <v>59</v>
      </c>
      <c r="C4" s="18" t="s">
        <v>96</v>
      </c>
      <c r="D4" s="18" t="s">
        <v>187</v>
      </c>
      <c r="E4" s="18" t="s">
        <v>245</v>
      </c>
    </row>
    <row r="5" customFormat="false" ht="15" hidden="false" customHeight="true" outlineLevel="0" collapsed="false">
      <c r="B5" s="21" t="s">
        <v>55</v>
      </c>
      <c r="C5" s="19" t="n">
        <f aca="false">COUNTIFS('Registro de riesgos'!$I$5:$I$44,"Alto",'Registro de riesgos'!$B$5:$B$44,"Producto")</f>
        <v>7</v>
      </c>
      <c r="D5" s="19" t="n">
        <f aca="false">COUNTIFS('Registro de riesgos'!$I$5:$I$44,"Alto",'Registro de riesgos'!$B$5:$B$44,"Proyecto")</f>
        <v>2</v>
      </c>
      <c r="E5" s="32" t="n">
        <f aca="false">C5+D5</f>
        <v>9</v>
      </c>
    </row>
    <row r="6" customFormat="false" ht="15" hidden="false" customHeight="true" outlineLevel="0" collapsed="false">
      <c r="B6" s="22" t="s">
        <v>53</v>
      </c>
      <c r="C6" s="19" t="n">
        <f aca="false">COUNTIFS('Registro de riesgos'!$I$5:$I$44,"Medio",'Registro de riesgos'!$B$5:$B$44,"Producto")</f>
        <v>6</v>
      </c>
      <c r="D6" s="19" t="n">
        <f aca="false">COUNTIFS('Registro de riesgos'!$I$5:$I$44,"Medio",'Registro de riesgos'!$B$5:$B$44,"Proyecto")</f>
        <v>2</v>
      </c>
      <c r="E6" s="32" t="n">
        <f aca="false">C6+D6</f>
        <v>8</v>
      </c>
    </row>
    <row r="7" customFormat="false" ht="15" hidden="false" customHeight="true" outlineLevel="0" collapsed="false">
      <c r="B7" s="23" t="s">
        <v>51</v>
      </c>
      <c r="C7" s="19" t="n">
        <f aca="false">COUNTIFS('Registro de riesgos'!$I$5:$I$44,"Bajo",'Registro de riesgos'!$B$5:$B$44,"Producto")</f>
        <v>1</v>
      </c>
      <c r="D7" s="19" t="n">
        <f aca="false">COUNTIFS('Registro de riesgos'!$I$5:$I$44,"Bajo",'Registro de riesgos'!$B$5:$B$44,"Proyecto")</f>
        <v>0</v>
      </c>
      <c r="E7" s="32" t="n">
        <f aca="false">C7+D7</f>
        <v>1</v>
      </c>
    </row>
    <row r="8" customFormat="false" ht="15" hidden="false" customHeight="true" outlineLevel="0" collapsed="false">
      <c r="B8" s="18" t="s">
        <v>245</v>
      </c>
      <c r="C8" s="32" t="n">
        <f aca="false">SUM(C5:C7)</f>
        <v>14</v>
      </c>
      <c r="D8" s="32" t="n">
        <f aca="false">SUM(D5:D7)</f>
        <v>4</v>
      </c>
      <c r="E8" s="32" t="n">
        <f aca="false">SUM(E5:E7)</f>
        <v>18</v>
      </c>
    </row>
    <row r="10" customFormat="false" ht="15.75" hidden="false" customHeight="true" outlineLevel="0" collapsed="false">
      <c r="B10" s="17" t="s">
        <v>246</v>
      </c>
    </row>
    <row r="11" customFormat="false" ht="15" hidden="false" customHeight="true" outlineLevel="0" collapsed="false">
      <c r="B11" s="10" t="s">
        <v>247</v>
      </c>
      <c r="C11" s="32" t="n">
        <f aca="false">C8</f>
        <v>14</v>
      </c>
      <c r="D11" s="33" t="str">
        <f aca="false">IF(C11&gt;=8,"OK","Falta")</f>
        <v>OK</v>
      </c>
      <c r="E11" s="15" t="s">
        <v>248</v>
      </c>
    </row>
    <row r="12" customFormat="false" ht="15" hidden="false" customHeight="true" outlineLevel="0" collapsed="false">
      <c r="B12" s="10" t="s">
        <v>249</v>
      </c>
      <c r="C12" s="32" t="n">
        <f aca="false">D8</f>
        <v>4</v>
      </c>
      <c r="D12" s="33" t="str">
        <f aca="false">IF(C12&gt;=3,"OK","Falta")</f>
        <v>OK</v>
      </c>
      <c r="E12" s="15" t="s">
        <v>250</v>
      </c>
    </row>
    <row r="13" customFormat="false" ht="15" hidden="false" customHeight="true" outlineLevel="0" collapsed="false">
      <c r="B13" s="10" t="s">
        <v>251</v>
      </c>
      <c r="C13" s="32" t="n">
        <f aca="false">COUNTIFS('Registro de riesgos'!$I$5:$I$44,"Alto",'Registro de riesgos'!$J$5:$J$44,"")+COUNTIFS('Registro de riesgos'!$I$5:$I$44,"Medio",'Registro de riesgos'!$J$5:$J$44,"")</f>
        <v>0</v>
      </c>
      <c r="D13" s="33" t="str">
        <f aca="false">IF(C13=0,"OK","Falta")</f>
        <v>OK</v>
      </c>
      <c r="E13" s="15" t="s">
        <v>252</v>
      </c>
    </row>
    <row r="14" customFormat="false" ht="15" hidden="false" customHeight="true" outlineLevel="0" collapsed="false">
      <c r="B14" s="10" t="s">
        <v>253</v>
      </c>
      <c r="C14" s="32" t="n">
        <f aca="false">COUNTIFS('Registro de riesgos'!$I$5:$I$44,"Alto",'Registro de riesgos'!$B$5:$B$44,"Producto",'Registro de riesgos'!$M$5:$M$44,"")</f>
        <v>0</v>
      </c>
      <c r="D14" s="33" t="str">
        <f aca="false">IF(C14=0,"OK","Falta")</f>
        <v>OK</v>
      </c>
      <c r="E14" s="15" t="s">
        <v>252</v>
      </c>
    </row>
  </sheetData>
  <conditionalFormatting sqref="D11:D14">
    <cfRule type="expression" priority="2" aboveAverage="0" equalAverage="0" bottom="0" percent="0" rank="0" text="" dxfId="10">
      <formula>D11="OK"</formula>
    </cfRule>
    <cfRule type="expression" priority="3" aboveAverage="0" equalAverage="0" bottom="0" percent="0" rank="0" text="" dxfId="8">
      <formula>D11="Falta"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2026-10-02T16:42:25Z</dcterms:created>
  <dc:creator>openpyxl</dc:creator>
  <dc:description/>
  <dc:language>en-US</dc:language>
  <cp:lastModifiedBy/>
  <dcterms:modified xsi:type="dcterms:W3CDTF">2026-10-21T16:22:15Z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